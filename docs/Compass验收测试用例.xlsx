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13638\AppData\Local\Temp\claude\C--Users-13638-OneDrive----AI--\1c172420-07ca-436c-b0d1-24803bdae8ec\scratchpad\"/>
    </mc:Choice>
  </mc:AlternateContent>
  <xr:revisionPtr revIDLastSave="0" documentId="13_ncr:1_{668FB885-AB0F-4E30-9960-15E4698E187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说明" sheetId="1" r:id="rId1"/>
    <sheet name="测试用例" sheetId="2" r:id="rId2"/>
    <sheet name="统计" sheetId="3" r:id="rId3"/>
    <sheet name="上线前检查" sheetId="4" r:id="rId4"/>
  </sheets>
  <definedNames>
    <definedName name="_xlnm._FilterDatabase" localSheetId="1" hidden="1">测试用例!$A$1:$H$144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9" i="3" l="1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B15" i="3"/>
  <c r="B14" i="3"/>
  <c r="B13" i="3"/>
  <c r="B12" i="3"/>
  <c r="B9" i="3"/>
  <c r="B8" i="3"/>
  <c r="B7" i="3"/>
  <c r="B6" i="3"/>
  <c r="B5" i="3"/>
  <c r="B4" i="3"/>
  <c r="B17" i="3" l="1"/>
  <c r="B10" i="3"/>
</calcChain>
</file>

<file path=xl/sharedStrings.xml><?xml version="1.0" encoding="utf-8"?>
<sst xmlns="http://schemas.openxmlformats.org/spreadsheetml/2006/main" count="873" uniqueCount="526">
  <si>
    <t>Compass 验收测试用例</t>
  </si>
  <si>
    <t>怎么用</t>
  </si>
  <si>
    <t>在「测试用例」表的【状态】列选:未测试/通过/不通过/阻塞/不适用。「统计」表会自动汇总。</t>
  </si>
  <si>
    <t>不通过的把现象写进【实际结果/备注】列,连同页面地址和服务端日志一起反馈。</t>
  </si>
  <si>
    <t>红线标记</t>
  </si>
  <si>
    <t>【红线】列标「红线」的是合规/安全底线,不通过必须停下修,不能放行接真实用户。</t>
  </si>
  <si>
    <t>测试环境</t>
  </si>
  <si>
    <t>演示服 http://8.208.125.209   或   本地 http://localhost:3000</t>
  </si>
  <si>
    <t>必做的准备</t>
  </si>
  <si>
    <t>先完成编号 P1–P4。特别是 P4「开放英国地区」——不做的话前台一直是空的,</t>
  </si>
  <si>
    <t>会让你误以为功能坏了。所有地区默认关闭是设计如此:数据没核对完就不放出去。</t>
  </si>
  <si>
    <t>演示环境已知限制</t>
  </si>
  <si>
    <t>以下不可测,不是 bug:</t>
  </si>
  <si>
    <t>· 真实支付——mock,点确认即视为付款成功</t>
  </si>
  <si>
    <t>· 真实短信——需 ALLOW_MOCK_SMS=true,验证码只写入服务端日志</t>
  </si>
  <si>
    <t>· 真实 LLM——mock,AI 返回固定占位内容</t>
  </si>
  <si>
    <t>· 对象存储——材料存本机磁盘(已 AES-256-GCM 加密)</t>
  </si>
  <si>
    <t>反馈问题时请附</t>
  </si>
  <si>
    <t>1) 页面地址  2) 操作步骤  3) 预期 vs 实际  4) journalctl -u compass -n 50 --no-pager</t>
  </si>
  <si>
    <t>编号</t>
  </si>
  <si>
    <t>模块</t>
  </si>
  <si>
    <t>红线</t>
  </si>
  <si>
    <t>操作步骤</t>
  </si>
  <si>
    <t>预期结果</t>
  </si>
  <si>
    <t>状态</t>
  </si>
  <si>
    <t>实际结果/备注</t>
  </si>
  <si>
    <t>测试日期</t>
  </si>
  <si>
    <t>P1</t>
  </si>
  <si>
    <t>〇 测试准备</t>
  </si>
  <si>
    <t>服务器执行 curl -s localhost:3000/api/health</t>
  </si>
  <si>
    <t>返回 {"ok":true}。这条会真的查数据库——首页返回200不代表数据库通</t>
  </si>
  <si>
    <t>未测试</t>
  </si>
  <si>
    <t>P2</t>
  </si>
  <si>
    <t>执行 ADMIN_EMAIL=你的邮箱 npm run admin:create</t>
  </si>
  <si>
    <t>打印后台邮箱与密码(只打印一次,当场存好)</t>
  </si>
  <si>
    <t>P3</t>
  </si>
  <si>
    <t>执行 PHONE=13800138000 PASSWORD='至少12位' npm run demo:seed</t>
  </si>
  <si>
    <t>打印手机号与密码,并显示「选校单5所 / 材料清单N项」</t>
  </si>
  <si>
    <t>P4</t>
  </si>
  <si>
    <t>登录后台 → 地区开放 → 打开【英国】</t>
  </si>
  <si>
    <t>不做这步前台永远是空的(设计如此:数据没核对完不放出去)</t>
  </si>
  <si>
    <t>A1</t>
  </si>
  <si>
    <t>一 营销首页</t>
  </si>
  <si>
    <t>打开首页 /</t>
  </si>
  <si>
    <t>显示项目数/院校数/地区数,数字来自数据库(开放英国后不为0)</t>
  </si>
  <si>
    <t>A2</t>
  </si>
  <si>
    <t>未登录时看顶部导航</t>
  </si>
  <si>
    <t>显示「价格 / 登录·注册 / 免费测一测」</t>
  </si>
  <si>
    <t>A3</t>
  </si>
  <si>
    <t>登录后再回首页</t>
  </si>
  <si>
    <t>「登录/注册」变成「进入工作台」</t>
  </si>
  <si>
    <t>A4</t>
  </si>
  <si>
    <t>通读全页与FAQ,搜索敏感词</t>
  </si>
  <si>
    <t>不得出现「保录」「保offer」「100%成功」「包过」「轻松」</t>
  </si>
  <si>
    <t>A5</t>
  </si>
  <si>
    <t>看FAQ「能保证录取吗」</t>
  </si>
  <si>
    <t>明确回答不能保证,给出的是参考区间</t>
  </si>
  <si>
    <t>A6</t>
  </si>
  <si>
    <t>看FAQ「买了觉得不合适怎么办」</t>
  </si>
  <si>
    <t>写明退款规则(7天/3次、阶梯退、单点服务三档)</t>
  </si>
  <si>
    <t>A7</t>
  </si>
  <si>
    <t>看页脚声明</t>
  </si>
  <si>
    <t>有「不做学科培训、不代理申请、不承诺录取结果」</t>
  </si>
  <si>
    <t>A8</t>
  </si>
  <si>
    <t>F12切手机尺寸打开首页</t>
  </si>
  <si>
    <t>布局不横向溢出,按钮可点(触控目标≥44px)</t>
  </si>
  <si>
    <t>B1</t>
  </si>
  <si>
    <t>二 免费评估</t>
  </si>
  <si>
    <t>点「免费测一测」进入 /assess</t>
  </si>
  <si>
    <t>3步表单,顶部有步骤指示 1/3</t>
  </si>
  <si>
    <t>B2</t>
  </si>
  <si>
    <t>第1步选本科层级+学科门类</t>
  </si>
  <si>
    <t>两项都选完才能进入下一步</t>
  </si>
  <si>
    <t>B3</t>
  </si>
  <si>
    <t>第2步拖动GPA滑块,切换百分制/4分制</t>
  </si>
  <si>
    <t>数字实时变化;切换后取值范围跟着变</t>
  </si>
  <si>
    <t>B4</t>
  </si>
  <si>
    <t>第2步语言选「雅思」</t>
  </si>
  <si>
    <t>出现两个输入框:总分、最低单项</t>
  </si>
  <si>
    <t>B5</t>
  </si>
  <si>
    <t>第2步看小分说明文案</t>
  </si>
  <si>
    <t>提示「很多学校要求总分6.5且单项不低于6.0」</t>
  </si>
  <si>
    <t>B6</t>
  </si>
  <si>
    <t>第2步语言选「还没考」</t>
  </si>
  <si>
    <t>分数输入框消失,仍可继续</t>
  </si>
  <si>
    <t>B7</t>
  </si>
  <si>
    <t>第3步查看地区列表</t>
  </si>
  <si>
    <t>只列已开放且真有数据的地区,每个带项目数</t>
  </si>
  <si>
    <t>B8</t>
  </si>
  <si>
    <t>第3步查看方向列表</t>
  </si>
  <si>
    <t>按第1步的学科门类排序,分「顺延/转向」分组</t>
  </si>
  <si>
    <t>B9</t>
  </si>
  <si>
    <t>点「查看更多跨学科方向」</t>
  </si>
  <si>
    <t>展开剩余方向,再点可收起</t>
  </si>
  <si>
    <t>B10</t>
  </si>
  <si>
    <t>不勾隐私政策直接提交</t>
  </si>
  <si>
    <t>提交被拒,提示需先同意</t>
  </si>
  <si>
    <t>B11</t>
  </si>
  <si>
    <t>填完整表单并提交</t>
  </si>
  <si>
    <t>跳转到结果页 /assess/result/[id]</t>
  </si>
  <si>
    <t>B12</t>
  </si>
  <si>
    <t>把所有地区关闭后再进 /assess</t>
  </si>
  <si>
    <t>显示「暂时没有可选地区…宁可先不开放」,不是空白页</t>
  </si>
  <si>
    <t>B13</t>
  </si>
  <si>
    <t>结果页查看名单</t>
  </si>
  <si>
    <t>分「冲刺 / 匹配 / 稳妥」三档</t>
  </si>
  <si>
    <t>B14</t>
  </si>
  <si>
    <t>结果页查看每个项目的录取概率</t>
  </si>
  <si>
    <t>标注为预估区间(如30–45%),不是单一确定数字</t>
  </si>
  <si>
    <t>B15</t>
  </si>
  <si>
    <t>结果页查看免责声明</t>
  </si>
  <si>
    <t>写明预估仅供参考、以学校官网为准</t>
  </si>
  <si>
    <t>B16</t>
  </si>
  <si>
    <t>结果页查看未核对的数据项</t>
  </si>
  <si>
    <t>明确标注「待核实」,不当作确定值展示</t>
  </si>
  <si>
    <t>B17</t>
  </si>
  <si>
    <t>填最低单项5.5+总分7.0,看语言体检</t>
  </si>
  <si>
    <t>总分够但单项不够的项目不算达标(对比不填单项时达标数应更多)</t>
  </si>
  <si>
    <t>B18</t>
  </si>
  <si>
    <t>点分享按钮</t>
  </si>
  <si>
    <t>生成分享链接,/r/[code] 可正常打开</t>
  </si>
  <si>
    <t>C1</t>
  </si>
  <si>
    <t>三 注册登录</t>
  </si>
  <si>
    <t>打开 /login</t>
  </si>
  <si>
    <t>顶部有「验证码登录 / 密码登录」切换;标题为「登录 / 注册」</t>
  </si>
  <si>
    <t>C2</t>
  </si>
  <si>
    <t>验证码模式下查看顶部</t>
  </si>
  <si>
    <t>有「① 填手机号 → ② 填验证码登录」两步指示</t>
  </si>
  <si>
    <t>C3</t>
  </si>
  <si>
    <t>刚进入登录页</t>
  </si>
  <si>
    <t>光标自动定位在手机号输入框</t>
  </si>
  <si>
    <t>C4</t>
  </si>
  <si>
    <t>手机号填不满11位</t>
  </si>
  <si>
    <t>「获取验证码」按钮灰着点不动</t>
  </si>
  <si>
    <t>C5</t>
  </si>
  <si>
    <t>不勾选用户协议</t>
  </si>
  <si>
    <t>按钮点不动</t>
  </si>
  <si>
    <t>C6</t>
  </si>
  <si>
    <t>本地环境点「获取验证码」</t>
  </si>
  <si>
    <t>页面显示验证码,并有「一键填入」按钮</t>
  </si>
  <si>
    <t>C7</t>
  </si>
  <si>
    <t>服务器点「获取验证码」,同时看服务端日志</t>
  </si>
  <si>
    <t>页面不显示验证码;journalctl -u compass -f | grep SMS:demo 里能看到</t>
  </si>
  <si>
    <t>C8</t>
  </si>
  <si>
    <t>验证码发出后</t>
  </si>
  <si>
    <t>光标自动跳到验证码输入框</t>
  </si>
  <si>
    <t>C9</t>
  </si>
  <si>
    <t>故意输错验证码5次,然后输入正确的码</t>
  </si>
  <si>
    <t>第5次提示「错误次数过多」;此后即使输对也进不去,必须重新发码</t>
  </si>
  <si>
    <t>C10</t>
  </si>
  <si>
    <t>60秒内重复点「获取验证码」</t>
  </si>
  <si>
    <t>提示「请60秒后再试」</t>
  </si>
  <si>
    <t>C11</t>
  </si>
  <si>
    <t>用全新手机号+正确验证码登录</t>
  </si>
  <si>
    <t>自动创建账号,跳转到 /app/onboarding</t>
  </si>
  <si>
    <t>C12</t>
  </si>
  <si>
    <t>切换到「密码登录」</t>
  </si>
  <si>
    <t>协议勾选框消失(密码登录不建新号),出现密码输入框</t>
  </si>
  <si>
    <t>C13</t>
  </si>
  <si>
    <t>用 demo:seed 打印的密码登录</t>
  </si>
  <si>
    <t>直接进入工作台</t>
  </si>
  <si>
    <t>C14</t>
  </si>
  <si>
    <t>密码连续输错5次,然后输入正确密码</t>
  </si>
  <si>
    <t>锁定15分钟;锁定期内即使密码正确也拒绝登录</t>
  </si>
  <si>
    <t>C15</t>
  </si>
  <si>
    <t>用不存在的手机号+任意密码登录</t>
  </si>
  <si>
    <t>报错文案与「密码错误」完全相同(防枚举,不能泄露哪些号注册过)</t>
  </si>
  <si>
    <t>C16</t>
  </si>
  <si>
    <t>任意方式成功登录后观察</t>
  </si>
  <si>
    <t>能正常跳转进工作台,不是停在原地毫无反应(Secure cookie 老bug)</t>
  </si>
  <si>
    <t>D1</t>
  </si>
  <si>
    <t>四 定价支付</t>
  </si>
  <si>
    <t>打开 /pricing</t>
  </si>
  <si>
    <t>显示基础版/Pro两档价格与权益</t>
  </si>
  <si>
    <t>D2</t>
  </si>
  <si>
    <t>在点击付款【之前】查看页面</t>
  </si>
  <si>
    <t>必须能看到退款规则,不能只写在协议里</t>
  </si>
  <si>
    <t>D3</t>
  </si>
  <si>
    <t>点击购买</t>
  </si>
  <si>
    <t>进入支付页(mock环境是本地确认页)</t>
  </si>
  <si>
    <t>D4</t>
  </si>
  <si>
    <t>确认支付</t>
  </si>
  <si>
    <t>季票开通;选校单为空跳onboarding,非空跳dashboard</t>
  </si>
  <si>
    <t>D5</t>
  </si>
  <si>
    <t>重复点击「确认支付」多次</t>
  </si>
  <si>
    <t>不重复开通、不重复扣款(幂等)</t>
  </si>
  <si>
    <t>D6</t>
  </si>
  <si>
    <t>查看 /app/orders</t>
  </si>
  <si>
    <t>能看到订单与支付记录</t>
  </si>
  <si>
    <t>E1</t>
  </si>
  <si>
    <t>五 工作台-总览</t>
  </si>
  <si>
    <t>打开 /app/dashboard</t>
  </si>
  <si>
    <t>顶部四个指标卡;有「下一步做什么」的行动清单</t>
  </si>
  <si>
    <t>E2</t>
  </si>
  <si>
    <t>查看临近截止的项目配色</t>
  </si>
  <si>
    <t>≤3天红色、≤7天琥珀色、其余中性</t>
  </si>
  <si>
    <t>E3</t>
  </si>
  <si>
    <t>选校项目都没有截止日时</t>
  </si>
  <si>
    <t>诚实提示「还没公布截止日期」,不编造日期</t>
  </si>
  <si>
    <t>E4</t>
  </si>
  <si>
    <t>用全新账号(无选校)打开总览</t>
  </si>
  <si>
    <t>显示4步引导空状态,不是空白页</t>
  </si>
  <si>
    <t>E5</t>
  </si>
  <si>
    <t>五 工作台-评估</t>
  </si>
  <si>
    <t>打开 /app/assessments</t>
  </si>
  <si>
    <t>页面顶部是「我的背景」表单(已从设置页搬来)</t>
  </si>
  <si>
    <t>E6</t>
  </si>
  <si>
    <t>清空本科层级或GPA后查看</t>
  </si>
  <si>
    <t>琥珀色提示「还差XX没填」,说明补齐后才能重算</t>
  </si>
  <si>
    <t>E7</t>
  </si>
  <si>
    <t>背景填写完整后查看</t>
  </si>
  <si>
    <t>绿色提示「已齐全,可以随时重算」</t>
  </si>
  <si>
    <t>E8</t>
  </si>
  <si>
    <t>填了雅思总分但没填最低单项</t>
  </si>
  <si>
    <t>额外提示「补上最低单项还能更准」</t>
  </si>
  <si>
    <t>E9</t>
  </si>
  <si>
    <t>修改背景后点保存</t>
  </si>
  <si>
    <t>出现绿色对勾「已保存」</t>
  </si>
  <si>
    <t>E10</t>
  </si>
  <si>
    <t>查看「当前目标」区域</t>
  </si>
  <si>
    <t>只读显示地区/方向,并说明「换目标请新建一份方案」</t>
  </si>
  <si>
    <t>E11</t>
  </si>
  <si>
    <t>点「按我现在的资料重算」</t>
  </si>
  <si>
    <t>生成新一份方案,旧方案不被覆盖;显示前后差异</t>
  </si>
  <si>
    <t>E12</t>
  </si>
  <si>
    <t>查看方案对比表</t>
  </si>
  <si>
    <t>多份并排,显示匹配数、冲/匹/保、语言达标数</t>
  </si>
  <si>
    <t>E13</t>
  </si>
  <si>
    <t>查看某个「保底=0」的方案</t>
  </si>
  <si>
    <t>提示「全是冲刺和匹配,最坏情况可能没学上」</t>
  </si>
  <si>
    <t>E14</t>
  </si>
  <si>
    <t>五 工作台-选校</t>
  </si>
  <si>
    <t>用空选校单账号打开 /app/schools</t>
  </si>
  <si>
    <t>提示 + 「去评估拿推荐名单」按钮</t>
  </si>
  <si>
    <t>E15</t>
  </si>
  <si>
    <t>从院校库添加一所学校</t>
  </si>
  <si>
    <t>出现在对应档位;材料清单自动重新生成</t>
  </si>
  <si>
    <t>E16</t>
  </si>
  <si>
    <t>移除一所学校</t>
  </si>
  <si>
    <t>材料清单跟着变化(不再需要的材料消失)</t>
  </si>
  <si>
    <t>E17</t>
  </si>
  <si>
    <t>修改某校档位(冲刺↔匹配)</t>
  </si>
  <si>
    <t>立即生效</t>
  </si>
  <si>
    <t>E18</t>
  </si>
  <si>
    <t>按地区/方向筛选院校库</t>
  </si>
  <si>
    <t>结果正确;无匹配时提示「换个筛选条件」</t>
  </si>
  <si>
    <t>E19</t>
  </si>
  <si>
    <t>五 工作台-材料</t>
  </si>
  <si>
    <t>选校单为空时打开 /app/materials</t>
  </si>
  <si>
    <t>提示 + 「去选校」按钮</t>
  </si>
  <si>
    <t>E20</t>
  </si>
  <si>
    <t>有选校时查看材料清单</t>
  </si>
  <si>
    <t>按学校去重合并(成绩单只出现一次,标注管几所)</t>
  </si>
  <si>
    <t>E21</t>
  </si>
  <si>
    <t>上传一个PDF</t>
  </si>
  <si>
    <t>上传成功,状态变为「已完成」</t>
  </si>
  <si>
    <t>E22</t>
  </si>
  <si>
    <t>点击已上传的文件</t>
  </si>
  <si>
    <t>能在浏览器中打开(PDF/图片 inline 预览)</t>
  </si>
  <si>
    <t>E23</t>
  </si>
  <si>
    <t>服务器执行 cat /opt/compass/uploads/&lt;某文件&gt;</t>
  </si>
  <si>
    <t>是乱码密文,不是明文PDF(AES-256-GCM落盘加密)</t>
  </si>
  <si>
    <t>E24</t>
  </si>
  <si>
    <t>上传&gt;20MB文件 或 非PDF/JPG/PNG格式</t>
  </si>
  <si>
    <t>被拒绝并给出提示</t>
  </si>
  <si>
    <t>E25</t>
  </si>
  <si>
    <t>用另一个账号访问 /api/materials/&lt;别人的id&gt;/file</t>
  </si>
  <si>
    <t>返回404(不是403——403等于确认这个id存在)</t>
  </si>
  <si>
    <t>E26</t>
  </si>
  <si>
    <t>五 工作台-文书</t>
  </si>
  <si>
    <t>新建一篇文书</t>
  </si>
  <si>
    <t>进入工作台,可编辑正文</t>
  </si>
  <si>
    <t>E27</t>
  </si>
  <si>
    <t>通篇查找「一键生成全文」按钮</t>
  </si>
  <si>
    <t>必须找不到。只有三个入口:素材追问、结构建议、逐句润色</t>
  </si>
  <si>
    <t>E28</t>
  </si>
  <si>
    <t>使用「素材追问」</t>
  </si>
  <si>
    <t>AI提问引导你补充细节,不替你写故事</t>
  </si>
  <si>
    <t>E29</t>
  </si>
  <si>
    <t>使用「逐句润色」</t>
  </si>
  <si>
    <t>对已有句子给出修改建议</t>
  </si>
  <si>
    <t>E30</t>
  </si>
  <si>
    <t>运行合规检查</t>
  </si>
  <si>
    <t>给出风险提示(如过度依赖AI的表述)</t>
  </si>
  <si>
    <t>E31</t>
  </si>
  <si>
    <t>多次保存后查看历史</t>
  </si>
  <si>
    <t>历史版本可查看</t>
  </si>
  <si>
    <t>E32</t>
  </si>
  <si>
    <t>五 工作台-服务</t>
  </si>
  <si>
    <t>打开 /app/services</t>
  </si>
  <si>
    <t>列出人工服务与价格;Pro账号显示9折</t>
  </si>
  <si>
    <t>E33</t>
  </si>
  <si>
    <t>下单一个人工服务</t>
  </si>
  <si>
    <t>生成订单,进入待派单状态</t>
  </si>
  <si>
    <t>E34</t>
  </si>
  <si>
    <t>五 工作台-设置</t>
  </si>
  <si>
    <t>打开 /app/settings 查看「我的背景」</t>
  </si>
  <si>
    <t>只读摘要 + 「去评估页编辑 →」链接</t>
  </si>
  <si>
    <t>E35</t>
  </si>
  <si>
    <t>在「登录密码」处设置密码</t>
  </si>
  <si>
    <t>可设置/修改;两次不一致报错;弱密码(如123456)被拒</t>
  </si>
  <si>
    <t>E36</t>
  </si>
  <si>
    <t>点「导出我的全部数据」</t>
  </si>
  <si>
    <t>下载JSON,含资料/选校/材料/文书/订单(PIPL可携带权)</t>
  </si>
  <si>
    <t>E37</t>
  </si>
  <si>
    <t>尝试注销账号</t>
  </si>
  <si>
    <t>需输入本人手机号确认;有生效季票时拒绝并提示先退款</t>
  </si>
  <si>
    <t>E38</t>
  </si>
  <si>
    <t>五 工作台-移动端</t>
  </si>
  <si>
    <t>手机尺寸打开 /app/dashboard</t>
  </si>
  <si>
    <t>底部出现标签栏:总览/选校/材料/文书/更多</t>
  </si>
  <si>
    <t>E39</t>
  </si>
  <si>
    <t>查看当前所在页对应的标签</t>
  </si>
  <si>
    <t>该标签高亮(品牌色)</t>
  </si>
  <si>
    <t>E40</t>
  </si>
  <si>
    <t>点击底部「更多」</t>
  </si>
  <si>
    <t>弹出面板:评估方案/人工服务/我的订单/账号设置/退出登录</t>
  </si>
  <si>
    <t>E41</t>
  </si>
  <si>
    <t>切回桌面尺寸</t>
  </si>
  <si>
    <t>底部标签栏消失,走顶部导航</t>
  </si>
  <si>
    <t>F1</t>
  </si>
  <si>
    <t>六 运营后台</t>
  </si>
  <si>
    <t>/admin/login 用错误密码试5次</t>
  </si>
  <si>
    <t>账号锁定15分钟</t>
  </si>
  <si>
    <t>F2</t>
  </si>
  <si>
    <t>用不存在的邮箱登录</t>
  </si>
  <si>
    <t>报错与「密码错误」相同(防枚举)</t>
  </si>
  <si>
    <t>F3</t>
  </si>
  <si>
    <t>登录成功后查看顶部导航</t>
  </si>
  <si>
    <t>按「数据 / 服务 / 运营 / 系统」四组排列</t>
  </si>
  <si>
    <t>F4</t>
  </si>
  <si>
    <t>未登录直接访问 /admin/programs</t>
  </si>
  <si>
    <t>被重定向到登录页</t>
  </si>
  <si>
    <t>F5</t>
  </si>
  <si>
    <t>六 后台-院校库</t>
  </si>
  <si>
    <t>查看院校库标签页</t>
  </si>
  <si>
    <t>待核对/已过期/已核对/全部,各带数量</t>
  </si>
  <si>
    <t>F6</t>
  </si>
  <si>
    <t>当未核对占比&gt;10%时查看页面</t>
  </si>
  <si>
    <t>顶部红色告警「应暂停投放」(PRD 11.3)</t>
  </si>
  <si>
    <t>F7</t>
  </si>
  <si>
    <t>点「导出 Excel(当前筛选)」</t>
  </si>
  <si>
    <t>下载CSV,Excel双击打开中文不乱码</t>
  </si>
  <si>
    <t>F8</t>
  </si>
  <si>
    <t>点「下载空模板」</t>
  </si>
  <si>
    <t>得到表头+一行示例数据</t>
  </si>
  <si>
    <t>F9</t>
  </si>
  <si>
    <t>改CSV里某项目的学费,再「从Excel导入」</t>
  </si>
  <si>
    <t>提示「更新 N」;该项目学费已变更</t>
  </si>
  <si>
    <t>F10</t>
  </si>
  <si>
    <t>导入完成后查看被更新项目的状态</t>
  </si>
  <si>
    <t>变回「待核对」——Excel导入不等于已核实</t>
  </si>
  <si>
    <t>F11</t>
  </si>
  <si>
    <t>导入一行新项目(项目ID留空)</t>
  </si>
  <si>
    <t>提示「新增 1」;学校不存在时自动创建</t>
  </si>
  <si>
    <t>F12</t>
  </si>
  <si>
    <t>导入时把某行地区写成「火星」</t>
  </si>
  <si>
    <t>该行被跳过并报错,其余行正常导入,不写脏数据</t>
  </si>
  <si>
    <t>F13</t>
  </si>
  <si>
    <t>导入一行截止日填 2020-01-01</t>
  </si>
  <si>
    <t>截止日被置空,原值写入备注(过期日期比没有日期更危险)</t>
  </si>
  <si>
    <t>F14</t>
  </si>
  <si>
    <t>核对一个项目并标记为已核对</t>
  </si>
  <si>
    <t>状态变「已核对」,记录核对人与时间</t>
  </si>
  <si>
    <t>F15</t>
  </si>
  <si>
    <t>六 后台-其他</t>
  </si>
  <si>
    <t>/admin/regions 开关地区</t>
  </si>
  <si>
    <t>核对率不达标有提示;关闭后前台该地区消失</t>
  </si>
  <si>
    <t>F16</t>
  </si>
  <si>
    <t>/admin/collect 填AI key并按学校采集</t>
  </si>
  <si>
    <t>key掩码显示;采集结果进入草稿待审,不直接进院校库</t>
  </si>
  <si>
    <t>F17</t>
  </si>
  <si>
    <t>/admin/collect/[id] 逐条审核采集结果</t>
  </si>
  <si>
    <t>证据不足的字段被丢弃,不编造数据</t>
  </si>
  <si>
    <t>F18</t>
  </si>
  <si>
    <t>/admin/pricing 改季票价格后查看已付款订单</t>
  </si>
  <si>
    <t>已付款订单金额不受影响(下单时已快照)</t>
  </si>
  <si>
    <t>F19</t>
  </si>
  <si>
    <t>/admin/services 增删改人工服务与价格</t>
  </si>
  <si>
    <t>改动生效,前台服务页同步</t>
  </si>
  <si>
    <t>F20</t>
  </si>
  <si>
    <t>/admin/dispatch 尝试非法状态流转</t>
  </si>
  <si>
    <t>状态机只允许合法流转(如不能从待付款直接跳已交付)</t>
  </si>
  <si>
    <t>F21</t>
  </si>
  <si>
    <t>/admin/deliverers 新增交付人</t>
  </si>
  <si>
    <t>可创建,并可绑定顾问账号</t>
  </si>
  <si>
    <t>F22</t>
  </si>
  <si>
    <t>/admin/settlement 查看月结分成</t>
  </si>
  <si>
    <t>分成计算正确</t>
  </si>
  <si>
    <t>F23</t>
  </si>
  <si>
    <t>/admin/notifications 查看通知队列</t>
  </si>
  <si>
    <t>队列可见,失败项有标记</t>
  </si>
  <si>
    <t>F24</t>
  </si>
  <si>
    <t>/admin/metrics 查看数据看板</t>
  </si>
  <si>
    <t>漏斗与关键指标正常显示</t>
  </si>
  <si>
    <t>F25</t>
  </si>
  <si>
    <t>/admin/leads 点「导出CSV」</t>
  </si>
  <si>
    <t>下载成功,中文不乱码</t>
  </si>
  <si>
    <t>F26</t>
  </si>
  <si>
    <t>/admin/accounts 新建/停用账号</t>
  </si>
  <si>
    <t>角色可选 super_admin/operator/data_entry/advisor</t>
  </si>
  <si>
    <t>G1</t>
  </si>
  <si>
    <t>七 顾问端</t>
  </si>
  <si>
    <t>用advisor角色账号登录 /admin/login</t>
  </si>
  <si>
    <t>自动跳转到 /advisor,不进运营后台</t>
  </si>
  <si>
    <t>G2</t>
  </si>
  <si>
    <t>advisor账号手动访问 /admin/leads</t>
  </si>
  <si>
    <t>被挡住(顾问不该看到线索/院校库/价格)</t>
  </si>
  <si>
    <t>G3</t>
  </si>
  <si>
    <t>查看顾问工作台的订单列表</t>
  </si>
  <si>
    <t>只看到派给自己的单,看不到别人的</t>
  </si>
  <si>
    <t>G4</t>
  </si>
  <si>
    <t>更新某单的交付状态</t>
  </si>
  <si>
    <t>状态流转正常</t>
  </si>
  <si>
    <t>S1</t>
  </si>
  <si>
    <t>八 安全权限</t>
  </si>
  <si>
    <t>curl -I http://&lt;站点&gt;/ 查看响应头</t>
  </si>
  <si>
    <t>含 X-Frame-Options: DENY、CSP frame-ancestors 'none'、nosniff</t>
  </si>
  <si>
    <t>S2</t>
  </si>
  <si>
    <t>把站点嵌入其他页面的 iframe</t>
  </si>
  <si>
    <t>无法嵌入(防点击劫持)</t>
  </si>
  <si>
    <t>S3</t>
  </si>
  <si>
    <t>打开 /robots.txt</t>
  </si>
  <si>
    <t>屏蔽 /app/ /admin/ /advisor/ /assess/result/ /api/ /r/</t>
  </si>
  <si>
    <t>S4</t>
  </si>
  <si>
    <t>未登录访问 /app/dashboard</t>
  </si>
  <si>
    <t>跳转到登录页</t>
  </si>
  <si>
    <t>S5</t>
  </si>
  <si>
    <t>用学生账号访问 /admin</t>
  </si>
  <si>
    <t>进不去</t>
  </si>
  <si>
    <t>S6</t>
  </si>
  <si>
    <t>生产环境访问 /api/dev/verify-collect</t>
  </si>
  <si>
    <t>返回404(开发自检路由生产不可达)</t>
  </si>
  <si>
    <t>S7</t>
  </si>
  <si>
    <t>从外部执行 nc -zv &lt;服务器IP&gt; 5432</t>
  </si>
  <si>
    <t>连不上(数据库绝不能对公网开放)</t>
  </si>
  <si>
    <t>S8</t>
  </si>
  <si>
    <t>同一IP用不同手机号连续请求验证码21次</t>
  </si>
  <si>
    <t>第21次被拦截(防短信轰炸/烧钱)</t>
  </si>
  <si>
    <t>S9</t>
  </si>
  <si>
    <t>查数据库 verification_codes 表的 code 字段</t>
  </si>
  <si>
    <t>是HMAC摘要,不是明文验证码</t>
  </si>
  <si>
    <t>S10</t>
  </si>
  <si>
    <t>查数据库 users 表的 password_hash 字段</t>
  </si>
  <si>
    <t>是 scrypt$... 格式,无明文密码</t>
  </si>
  <si>
    <t>R1</t>
  </si>
  <si>
    <t>九 合规红线</t>
  </si>
  <si>
    <t>全站搜索「保录」「保offer」「100%」「包过」</t>
  </si>
  <si>
    <t>无任何承诺录取的表述</t>
  </si>
  <si>
    <t>R2</t>
  </si>
  <si>
    <t>检查所有出现概率数字的位置</t>
  </si>
  <si>
    <t>均标注为预估区间并附免责声明</t>
  </si>
  <si>
    <t>R3</t>
  </si>
  <si>
    <t>检查文书模块与用户协议</t>
  </si>
  <si>
    <t>不存在「一键生成全文」;协议明确写不代写</t>
  </si>
  <si>
    <t>R4</t>
  </si>
  <si>
    <t>检查所有未经人工核对的数据展示</t>
  </si>
  <si>
    <t>UI上有明确标注,不当作确定值</t>
  </si>
  <si>
    <t>R5</t>
  </si>
  <si>
    <t>检查退款规则展示位置</t>
  </si>
  <si>
    <t>付款前在页面上可见,不只在协议里</t>
  </si>
  <si>
    <t>R6</t>
  </si>
  <si>
    <t>检查注册流程</t>
  </si>
  <si>
    <t>强制阅读并同意协议,同意时间与版本号入库</t>
  </si>
  <si>
    <t>R7</t>
  </si>
  <si>
    <t>检查数据权利入口</t>
  </si>
  <si>
    <t>可导出全部数据、可注销并删除</t>
  </si>
  <si>
    <t>R8</t>
  </si>
  <si>
    <t>检查手机号收集处的说明</t>
  </si>
  <si>
    <t>明示「仅用于登录与申请提醒,不向第三方出售」</t>
  </si>
  <si>
    <t>R9</t>
  </si>
  <si>
    <t>检查学生上传材料的存储与访问</t>
  </si>
  <si>
    <t>落盘加密;取文件校验归属</t>
  </si>
  <si>
    <t>R10</t>
  </si>
  <si>
    <t>检查AI使用政策提示</t>
  </si>
  <si>
    <t>零容忍院校在文书页有显著警告</t>
  </si>
  <si>
    <t>测试进度统计</t>
  </si>
  <si>
    <t>（数据自动汇总自「测试用例」表，无需手动填写）</t>
  </si>
  <si>
    <t>总用例数</t>
  </si>
  <si>
    <t>已通过</t>
  </si>
  <si>
    <t>不通过</t>
  </si>
  <si>
    <t>阻塞</t>
  </si>
  <si>
    <t>不适用</t>
  </si>
  <si>
    <t>完成率</t>
  </si>
  <si>
    <t>红线用例总数</t>
  </si>
  <si>
    <t>红线-已通过</t>
  </si>
  <si>
    <t>红线-不通过</t>
  </si>
  <si>
    <t>红线-未测试</t>
  </si>
  <si>
    <t>放行判断</t>
  </si>
  <si>
    <t>分模块统计</t>
  </si>
  <si>
    <t>用例数</t>
  </si>
  <si>
    <t>通过</t>
  </si>
  <si>
    <t>上线前必须完成的事项（不是代码问题）</t>
  </si>
  <si>
    <t>这些与功能测试无关，但接真实用户前必须逐项落实。</t>
  </si>
  <si>
    <t>事项</t>
  </si>
  <si>
    <t>说明</t>
  </si>
  <si>
    <t>紧急度</t>
  </si>
  <si>
    <t>L1</t>
  </si>
  <si>
    <t>换境内地域服务器</t>
  </si>
  <si>
    <t>当前IP在阿里云国际站段,备案办不下来;域名在国内和微信里都打不开</t>
  </si>
  <si>
    <t>阻塞上线</t>
  </si>
  <si>
    <t>未开始</t>
  </si>
  <si>
    <t>L2</t>
  </si>
  <si>
    <t>接入阿里云短信</t>
  </si>
  <si>
    <t>现在是mock,需删除 ALLOW_MOCK_SMS 开关;需要营业执照</t>
  </si>
  <si>
    <t>L3</t>
  </si>
  <si>
    <t>接入微信支付(收款+退款一起)</t>
  </si>
  <si>
    <t>现在退款只改状态、不真退钱;需商户号</t>
  </si>
  <si>
    <t>L4</t>
  </si>
  <si>
    <t>法律文本送律师定稿</t>
  </si>
  <si>
    <t>当前 /legal/terms 与 /legal/privacy 是技术草稿</t>
  </si>
  <si>
    <t>L5</t>
  </si>
  <si>
    <t>核对英国126条院校数据</t>
  </si>
  <si>
    <t>核对率达标后把地区开放门槛调回90%</t>
  </si>
  <si>
    <t>L6</t>
  </si>
  <si>
    <t>材料迁移到OSS</t>
  </si>
  <si>
    <t>私有桶 + 服务端加密 + 签名URL;现在存本机磁盘(已加密)</t>
  </si>
  <si>
    <t>强烈建议</t>
  </si>
  <si>
    <t>L7</t>
  </si>
  <si>
    <t>配置HTTPS</t>
  </si>
  <si>
    <t>certbot --nginx,并把 NEXT_PUBLIC_SITE_URL 改成 https://</t>
  </si>
  <si>
    <t>L8</t>
  </si>
  <si>
    <t>备份+异地+恢复演练</t>
  </si>
  <si>
    <t>数据库与uploads都要备;见 deploy/云上安全.md</t>
  </si>
  <si>
    <t>未测试</t>
    <phoneticPr fontId="10" type="noConversion"/>
  </si>
  <si>
    <t>未测试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</si>
</sst>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1" x14ac:knownFonts="1">
    <font>
      <sz val="11"/>
      <color theme="1"/>
      <name val="宋体"/>
      <family val="2"/>
      <scheme val="minor"/>
    </font>
    <font>
      <b/>
      <sz val="14"/>
      <name val="Arial"/>
    </font>
    <font>
      <sz val="10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C00000"/>
      <name val="Arial"/>
    </font>
    <font>
      <sz val="9"/>
      <color rgb="FF808080"/>
      <name val="Arial"/>
    </font>
    <font>
      <b/>
      <sz val="10"/>
      <name val="Arial"/>
    </font>
    <font>
      <b/>
      <sz val="11"/>
      <name val="Arial"/>
    </font>
    <font>
      <b/>
      <sz val="13"/>
      <name val="Arial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F2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left" vertical="top"/>
    </xf>
    <xf numFmtId="0" fontId="5" fillId="3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left" vertical="top" wrapText="1"/>
    </xf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76" fontId="2" fillId="0" borderId="0" xfId="0" applyNumberFormat="1" applyFont="1" applyAlignment="1">
      <alignment horizontal="center"/>
    </xf>
    <xf numFmtId="0" fontId="8" fillId="0" borderId="0" xfId="0" applyFont="1"/>
    <xf numFmtId="0" fontId="3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9" fillId="0" borderId="0" xfId="0" applyFont="1"/>
    <xf numFmtId="0" fontId="5" fillId="0" borderId="1" xfId="0" applyFont="1" applyBorder="1" applyAlignment="1">
      <alignment horizontal="center" vertical="top"/>
    </xf>
  </cellXfs>
  <cellStyles count="1">
    <cellStyle name="常规" xfId="0" builtinId="0"/>
  </cellStyles>
  <dxfs count="3">
    <dxf>
      <font>
        <sz val="10"/>
        <color rgb="FF9C6500"/>
        <name val="Arial"/>
      </font>
      <fill>
        <patternFill patternType="solid">
          <fgColor rgb="FFFFEB9C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/>
  </sheetViews>
  <sheetFormatPr defaultRowHeight="13.5" x14ac:dyDescent="0.15"/>
  <cols>
    <col min="1" max="1" width="20" customWidth="1"/>
    <col min="2" max="2" width="95" customWidth="1"/>
  </cols>
  <sheetData>
    <row r="1" spans="1:2" ht="18" x14ac:dyDescent="0.25">
      <c r="A1" s="1" t="s">
        <v>0</v>
      </c>
      <c r="B1" s="2"/>
    </row>
    <row r="2" spans="1:2" ht="14.25" x14ac:dyDescent="0.2">
      <c r="A2" s="3"/>
      <c r="B2" s="2"/>
    </row>
    <row r="3" spans="1:2" ht="14.25" x14ac:dyDescent="0.2">
      <c r="A3" s="3" t="s">
        <v>1</v>
      </c>
      <c r="B3" s="2" t="s">
        <v>2</v>
      </c>
    </row>
    <row r="4" spans="1:2" ht="14.25" x14ac:dyDescent="0.2">
      <c r="A4" s="3"/>
      <c r="B4" s="2" t="s">
        <v>3</v>
      </c>
    </row>
    <row r="5" spans="1:2" ht="14.25" x14ac:dyDescent="0.2">
      <c r="A5" s="3"/>
      <c r="B5" s="2"/>
    </row>
    <row r="6" spans="1:2" ht="14.25" x14ac:dyDescent="0.2">
      <c r="A6" s="3" t="s">
        <v>4</v>
      </c>
      <c r="B6" s="2" t="s">
        <v>5</v>
      </c>
    </row>
    <row r="7" spans="1:2" ht="14.25" x14ac:dyDescent="0.2">
      <c r="A7" s="3"/>
      <c r="B7" s="2"/>
    </row>
    <row r="8" spans="1:2" ht="14.25" x14ac:dyDescent="0.2">
      <c r="A8" s="3" t="s">
        <v>6</v>
      </c>
      <c r="B8" s="2" t="s">
        <v>7</v>
      </c>
    </row>
    <row r="9" spans="1:2" ht="14.25" x14ac:dyDescent="0.2">
      <c r="A9" s="3"/>
      <c r="B9" s="2"/>
    </row>
    <row r="10" spans="1:2" ht="14.25" x14ac:dyDescent="0.2">
      <c r="A10" s="3" t="s">
        <v>8</v>
      </c>
      <c r="B10" s="2" t="s">
        <v>9</v>
      </c>
    </row>
    <row r="11" spans="1:2" ht="14.25" x14ac:dyDescent="0.2">
      <c r="A11" s="3"/>
      <c r="B11" s="2" t="s">
        <v>10</v>
      </c>
    </row>
    <row r="12" spans="1:2" ht="14.25" x14ac:dyDescent="0.2">
      <c r="A12" s="3"/>
      <c r="B12" s="2"/>
    </row>
    <row r="13" spans="1:2" ht="14.25" x14ac:dyDescent="0.2">
      <c r="A13" s="3" t="s">
        <v>11</v>
      </c>
      <c r="B13" s="2" t="s">
        <v>12</v>
      </c>
    </row>
    <row r="14" spans="1:2" ht="14.25" x14ac:dyDescent="0.2">
      <c r="A14" s="3"/>
      <c r="B14" s="2" t="s">
        <v>13</v>
      </c>
    </row>
    <row r="15" spans="1:2" ht="14.25" x14ac:dyDescent="0.2">
      <c r="A15" s="3"/>
      <c r="B15" s="2" t="s">
        <v>14</v>
      </c>
    </row>
    <row r="16" spans="1:2" ht="14.25" x14ac:dyDescent="0.2">
      <c r="A16" s="3"/>
      <c r="B16" s="2" t="s">
        <v>15</v>
      </c>
    </row>
    <row r="17" spans="1:2" ht="14.25" x14ac:dyDescent="0.2">
      <c r="A17" s="3"/>
      <c r="B17" s="2" t="s">
        <v>16</v>
      </c>
    </row>
    <row r="18" spans="1:2" ht="14.25" x14ac:dyDescent="0.2">
      <c r="A18" s="3"/>
      <c r="B18" s="2"/>
    </row>
    <row r="19" spans="1:2" ht="14.25" x14ac:dyDescent="0.2">
      <c r="A19" s="3" t="s">
        <v>17</v>
      </c>
      <c r="B19" s="2" t="s">
        <v>18</v>
      </c>
    </row>
  </sheetData>
  <phoneticPr fontId="1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4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8" customWidth="1"/>
    <col min="2" max="2" width="18" customWidth="1"/>
    <col min="3" max="3" width="7" customWidth="1"/>
    <col min="4" max="4" width="44" customWidth="1"/>
    <col min="5" max="5" width="58" customWidth="1"/>
    <col min="6" max="6" width="11" customWidth="1"/>
    <col min="7" max="7" width="34" customWidth="1"/>
    <col min="8" max="8" width="12" customWidth="1"/>
  </cols>
  <sheetData>
    <row r="1" spans="1:8" ht="24" customHeight="1" x14ac:dyDescent="0.15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</row>
    <row r="2" spans="1:8" x14ac:dyDescent="0.15">
      <c r="A2" s="5" t="s">
        <v>27</v>
      </c>
      <c r="B2" s="6" t="s">
        <v>28</v>
      </c>
      <c r="C2" s="5"/>
      <c r="D2" s="7" t="s">
        <v>29</v>
      </c>
      <c r="E2" s="7" t="s">
        <v>30</v>
      </c>
      <c r="F2" s="5" t="s">
        <v>524</v>
      </c>
      <c r="G2" s="7"/>
      <c r="H2" s="5"/>
    </row>
    <row r="3" spans="1:8" x14ac:dyDescent="0.15">
      <c r="A3" s="5" t="s">
        <v>32</v>
      </c>
      <c r="B3" s="6" t="s">
        <v>28</v>
      </c>
      <c r="C3" s="5"/>
      <c r="D3" s="7" t="s">
        <v>33</v>
      </c>
      <c r="E3" s="7" t="s">
        <v>34</v>
      </c>
      <c r="F3" s="5" t="s">
        <v>31</v>
      </c>
      <c r="G3" s="7"/>
      <c r="H3" s="5"/>
    </row>
    <row r="4" spans="1:8" ht="25.5" x14ac:dyDescent="0.15">
      <c r="A4" s="5" t="s">
        <v>35</v>
      </c>
      <c r="B4" s="6" t="s">
        <v>28</v>
      </c>
      <c r="C4" s="5"/>
      <c r="D4" s="7" t="s">
        <v>36</v>
      </c>
      <c r="E4" s="7" t="s">
        <v>37</v>
      </c>
      <c r="F4" s="5" t="s">
        <v>31</v>
      </c>
      <c r="G4" s="7"/>
      <c r="H4" s="5"/>
    </row>
    <row r="5" spans="1:8" x14ac:dyDescent="0.15">
      <c r="A5" s="5" t="s">
        <v>38</v>
      </c>
      <c r="B5" s="6" t="s">
        <v>28</v>
      </c>
      <c r="C5" s="5"/>
      <c r="D5" s="7" t="s">
        <v>39</v>
      </c>
      <c r="E5" s="7" t="s">
        <v>40</v>
      </c>
      <c r="F5" s="5" t="s">
        <v>31</v>
      </c>
      <c r="G5" s="7"/>
      <c r="H5" s="5"/>
    </row>
    <row r="6" spans="1:8" x14ac:dyDescent="0.15">
      <c r="A6" s="5" t="s">
        <v>41</v>
      </c>
      <c r="B6" s="6" t="s">
        <v>42</v>
      </c>
      <c r="C6" s="5"/>
      <c r="D6" s="7" t="s">
        <v>43</v>
      </c>
      <c r="E6" s="7" t="s">
        <v>44</v>
      </c>
      <c r="F6" s="5" t="s">
        <v>524</v>
      </c>
      <c r="G6" s="7"/>
      <c r="H6" s="5"/>
    </row>
    <row r="7" spans="1:8" x14ac:dyDescent="0.15">
      <c r="A7" s="5" t="s">
        <v>45</v>
      </c>
      <c r="B7" s="6" t="s">
        <v>42</v>
      </c>
      <c r="C7" s="5"/>
      <c r="D7" s="7" t="s">
        <v>46</v>
      </c>
      <c r="E7" s="7" t="s">
        <v>47</v>
      </c>
      <c r="F7" s="5" t="s">
        <v>31</v>
      </c>
      <c r="G7" s="7"/>
      <c r="H7" s="5"/>
    </row>
    <row r="8" spans="1:8" x14ac:dyDescent="0.15">
      <c r="A8" s="5" t="s">
        <v>48</v>
      </c>
      <c r="B8" s="6" t="s">
        <v>42</v>
      </c>
      <c r="C8" s="5"/>
      <c r="D8" s="7" t="s">
        <v>49</v>
      </c>
      <c r="E8" s="7" t="s">
        <v>50</v>
      </c>
      <c r="F8" s="5" t="s">
        <v>31</v>
      </c>
      <c r="G8" s="7"/>
      <c r="H8" s="5"/>
    </row>
    <row r="9" spans="1:8" x14ac:dyDescent="0.15">
      <c r="A9" s="8" t="s">
        <v>51</v>
      </c>
      <c r="B9" s="9" t="s">
        <v>42</v>
      </c>
      <c r="C9" s="10" t="s">
        <v>21</v>
      </c>
      <c r="D9" s="11" t="s">
        <v>52</v>
      </c>
      <c r="E9" s="11" t="s">
        <v>53</v>
      </c>
      <c r="F9" s="8" t="s">
        <v>525</v>
      </c>
      <c r="G9" s="11"/>
      <c r="H9" s="8"/>
    </row>
    <row r="10" spans="1:8" x14ac:dyDescent="0.15">
      <c r="A10" s="8" t="s">
        <v>54</v>
      </c>
      <c r="B10" s="9" t="s">
        <v>42</v>
      </c>
      <c r="C10" s="10" t="s">
        <v>21</v>
      </c>
      <c r="D10" s="11" t="s">
        <v>55</v>
      </c>
      <c r="E10" s="11" t="s">
        <v>56</v>
      </c>
      <c r="F10" s="8" t="s">
        <v>31</v>
      </c>
      <c r="G10" s="11"/>
      <c r="H10" s="8"/>
    </row>
    <row r="11" spans="1:8" x14ac:dyDescent="0.15">
      <c r="A11" s="5" t="s">
        <v>57</v>
      </c>
      <c r="B11" s="6" t="s">
        <v>42</v>
      </c>
      <c r="C11" s="5"/>
      <c r="D11" s="7" t="s">
        <v>58</v>
      </c>
      <c r="E11" s="7" t="s">
        <v>59</v>
      </c>
      <c r="F11" s="5" t="s">
        <v>31</v>
      </c>
      <c r="G11" s="7"/>
      <c r="H11" s="5"/>
    </row>
    <row r="12" spans="1:8" x14ac:dyDescent="0.15">
      <c r="A12" s="5" t="s">
        <v>60</v>
      </c>
      <c r="B12" s="6" t="s">
        <v>42</v>
      </c>
      <c r="C12" s="5"/>
      <c r="D12" s="7" t="s">
        <v>61</v>
      </c>
      <c r="E12" s="7" t="s">
        <v>62</v>
      </c>
      <c r="F12" s="5" t="s">
        <v>31</v>
      </c>
      <c r="G12" s="7"/>
      <c r="H12" s="5"/>
    </row>
    <row r="13" spans="1:8" x14ac:dyDescent="0.15">
      <c r="A13" s="5" t="s">
        <v>63</v>
      </c>
      <c r="B13" s="6" t="s">
        <v>42</v>
      </c>
      <c r="C13" s="5"/>
      <c r="D13" s="7" t="s">
        <v>64</v>
      </c>
      <c r="E13" s="7" t="s">
        <v>65</v>
      </c>
      <c r="F13" s="5" t="s">
        <v>31</v>
      </c>
      <c r="G13" s="7"/>
      <c r="H13" s="5"/>
    </row>
    <row r="14" spans="1:8" x14ac:dyDescent="0.15">
      <c r="A14" s="5" t="s">
        <v>66</v>
      </c>
      <c r="B14" s="6" t="s">
        <v>67</v>
      </c>
      <c r="C14" s="5"/>
      <c r="D14" s="7" t="s">
        <v>68</v>
      </c>
      <c r="E14" s="7" t="s">
        <v>69</v>
      </c>
      <c r="F14" s="5" t="s">
        <v>31</v>
      </c>
      <c r="G14" s="7"/>
      <c r="H14" s="5"/>
    </row>
    <row r="15" spans="1:8" x14ac:dyDescent="0.15">
      <c r="A15" s="5" t="s">
        <v>70</v>
      </c>
      <c r="B15" s="6" t="s">
        <v>67</v>
      </c>
      <c r="C15" s="5"/>
      <c r="D15" s="7" t="s">
        <v>71</v>
      </c>
      <c r="E15" s="7" t="s">
        <v>72</v>
      </c>
      <c r="F15" s="5" t="s">
        <v>31</v>
      </c>
      <c r="G15" s="7"/>
      <c r="H15" s="5"/>
    </row>
    <row r="16" spans="1:8" x14ac:dyDescent="0.15">
      <c r="A16" s="5" t="s">
        <v>73</v>
      </c>
      <c r="B16" s="6" t="s">
        <v>67</v>
      </c>
      <c r="C16" s="5"/>
      <c r="D16" s="7" t="s">
        <v>74</v>
      </c>
      <c r="E16" s="7" t="s">
        <v>75</v>
      </c>
      <c r="F16" s="5" t="s">
        <v>31</v>
      </c>
      <c r="G16" s="7"/>
      <c r="H16" s="5"/>
    </row>
    <row r="17" spans="1:8" x14ac:dyDescent="0.15">
      <c r="A17" s="5" t="s">
        <v>76</v>
      </c>
      <c r="B17" s="6" t="s">
        <v>67</v>
      </c>
      <c r="C17" s="5"/>
      <c r="D17" s="7" t="s">
        <v>77</v>
      </c>
      <c r="E17" s="7" t="s">
        <v>78</v>
      </c>
      <c r="F17" s="5" t="s">
        <v>31</v>
      </c>
      <c r="G17" s="7"/>
      <c r="H17" s="5"/>
    </row>
    <row r="18" spans="1:8" x14ac:dyDescent="0.15">
      <c r="A18" s="5" t="s">
        <v>79</v>
      </c>
      <c r="B18" s="6" t="s">
        <v>67</v>
      </c>
      <c r="C18" s="5"/>
      <c r="D18" s="7" t="s">
        <v>80</v>
      </c>
      <c r="E18" s="7" t="s">
        <v>81</v>
      </c>
      <c r="F18" s="5" t="s">
        <v>31</v>
      </c>
      <c r="G18" s="7"/>
      <c r="H18" s="5"/>
    </row>
    <row r="19" spans="1:8" x14ac:dyDescent="0.15">
      <c r="A19" s="5" t="s">
        <v>82</v>
      </c>
      <c r="B19" s="6" t="s">
        <v>67</v>
      </c>
      <c r="C19" s="5"/>
      <c r="D19" s="7" t="s">
        <v>83</v>
      </c>
      <c r="E19" s="7" t="s">
        <v>84</v>
      </c>
      <c r="F19" s="5" t="s">
        <v>31</v>
      </c>
      <c r="G19" s="7"/>
      <c r="H19" s="5"/>
    </row>
    <row r="20" spans="1:8" x14ac:dyDescent="0.15">
      <c r="A20" s="5" t="s">
        <v>85</v>
      </c>
      <c r="B20" s="6" t="s">
        <v>67</v>
      </c>
      <c r="C20" s="5"/>
      <c r="D20" s="7" t="s">
        <v>86</v>
      </c>
      <c r="E20" s="7" t="s">
        <v>87</v>
      </c>
      <c r="F20" s="5" t="s">
        <v>31</v>
      </c>
      <c r="G20" s="7"/>
      <c r="H20" s="5"/>
    </row>
    <row r="21" spans="1:8" x14ac:dyDescent="0.15">
      <c r="A21" s="5" t="s">
        <v>88</v>
      </c>
      <c r="B21" s="6" t="s">
        <v>67</v>
      </c>
      <c r="C21" s="5"/>
      <c r="D21" s="7" t="s">
        <v>89</v>
      </c>
      <c r="E21" s="7" t="s">
        <v>90</v>
      </c>
      <c r="F21" s="5" t="s">
        <v>31</v>
      </c>
      <c r="G21" s="7"/>
      <c r="H21" s="5"/>
    </row>
    <row r="22" spans="1:8" x14ac:dyDescent="0.15">
      <c r="A22" s="5" t="s">
        <v>91</v>
      </c>
      <c r="B22" s="6" t="s">
        <v>67</v>
      </c>
      <c r="C22" s="5"/>
      <c r="D22" s="7" t="s">
        <v>92</v>
      </c>
      <c r="E22" s="7" t="s">
        <v>93</v>
      </c>
      <c r="F22" s="5" t="s">
        <v>31</v>
      </c>
      <c r="G22" s="7"/>
      <c r="H22" s="5"/>
    </row>
    <row r="23" spans="1:8" x14ac:dyDescent="0.15">
      <c r="A23" s="5" t="s">
        <v>94</v>
      </c>
      <c r="B23" s="6" t="s">
        <v>67</v>
      </c>
      <c r="C23" s="5"/>
      <c r="D23" s="7" t="s">
        <v>95</v>
      </c>
      <c r="E23" s="7" t="s">
        <v>96</v>
      </c>
      <c r="F23" s="5" t="s">
        <v>31</v>
      </c>
      <c r="G23" s="7"/>
      <c r="H23" s="5"/>
    </row>
    <row r="24" spans="1:8" x14ac:dyDescent="0.15">
      <c r="A24" s="5" t="s">
        <v>97</v>
      </c>
      <c r="B24" s="6" t="s">
        <v>67</v>
      </c>
      <c r="C24" s="5"/>
      <c r="D24" s="7" t="s">
        <v>98</v>
      </c>
      <c r="E24" s="7" t="s">
        <v>99</v>
      </c>
      <c r="F24" s="5" t="s">
        <v>31</v>
      </c>
      <c r="G24" s="7"/>
      <c r="H24" s="5"/>
    </row>
    <row r="25" spans="1:8" x14ac:dyDescent="0.15">
      <c r="A25" s="5" t="s">
        <v>100</v>
      </c>
      <c r="B25" s="6" t="s">
        <v>67</v>
      </c>
      <c r="C25" s="5"/>
      <c r="D25" s="7" t="s">
        <v>101</v>
      </c>
      <c r="E25" s="7" t="s">
        <v>102</v>
      </c>
      <c r="F25" s="5" t="s">
        <v>31</v>
      </c>
      <c r="G25" s="7"/>
      <c r="H25" s="5"/>
    </row>
    <row r="26" spans="1:8" x14ac:dyDescent="0.15">
      <c r="A26" s="5" t="s">
        <v>103</v>
      </c>
      <c r="B26" s="6" t="s">
        <v>67</v>
      </c>
      <c r="C26" s="5"/>
      <c r="D26" s="7" t="s">
        <v>104</v>
      </c>
      <c r="E26" s="7" t="s">
        <v>105</v>
      </c>
      <c r="F26" s="5" t="s">
        <v>31</v>
      </c>
      <c r="G26" s="7"/>
      <c r="H26" s="5"/>
    </row>
    <row r="27" spans="1:8" x14ac:dyDescent="0.15">
      <c r="A27" s="8" t="s">
        <v>106</v>
      </c>
      <c r="B27" s="9" t="s">
        <v>67</v>
      </c>
      <c r="C27" s="10" t="s">
        <v>21</v>
      </c>
      <c r="D27" s="11" t="s">
        <v>107</v>
      </c>
      <c r="E27" s="11" t="s">
        <v>108</v>
      </c>
      <c r="F27" s="8" t="s">
        <v>31</v>
      </c>
      <c r="G27" s="11"/>
      <c r="H27" s="8"/>
    </row>
    <row r="28" spans="1:8" x14ac:dyDescent="0.15">
      <c r="A28" s="8" t="s">
        <v>109</v>
      </c>
      <c r="B28" s="9" t="s">
        <v>67</v>
      </c>
      <c r="C28" s="10" t="s">
        <v>21</v>
      </c>
      <c r="D28" s="11" t="s">
        <v>110</v>
      </c>
      <c r="E28" s="11" t="s">
        <v>111</v>
      </c>
      <c r="F28" s="8" t="s">
        <v>31</v>
      </c>
      <c r="G28" s="11"/>
      <c r="H28" s="8"/>
    </row>
    <row r="29" spans="1:8" x14ac:dyDescent="0.15">
      <c r="A29" s="8" t="s">
        <v>112</v>
      </c>
      <c r="B29" s="9" t="s">
        <v>67</v>
      </c>
      <c r="C29" s="10" t="s">
        <v>21</v>
      </c>
      <c r="D29" s="11" t="s">
        <v>113</v>
      </c>
      <c r="E29" s="11" t="s">
        <v>114</v>
      </c>
      <c r="F29" s="8" t="s">
        <v>31</v>
      </c>
      <c r="G29" s="11"/>
      <c r="H29" s="8"/>
    </row>
    <row r="30" spans="1:8" x14ac:dyDescent="0.15">
      <c r="A30" s="5" t="s">
        <v>115</v>
      </c>
      <c r="B30" s="6" t="s">
        <v>67</v>
      </c>
      <c r="C30" s="5"/>
      <c r="D30" s="7" t="s">
        <v>116</v>
      </c>
      <c r="E30" s="7" t="s">
        <v>117</v>
      </c>
      <c r="F30" s="5" t="s">
        <v>31</v>
      </c>
      <c r="G30" s="7"/>
      <c r="H30" s="5"/>
    </row>
    <row r="31" spans="1:8" x14ac:dyDescent="0.15">
      <c r="A31" s="5" t="s">
        <v>118</v>
      </c>
      <c r="B31" s="6" t="s">
        <v>67</v>
      </c>
      <c r="C31" s="5"/>
      <c r="D31" s="7" t="s">
        <v>119</v>
      </c>
      <c r="E31" s="7" t="s">
        <v>120</v>
      </c>
      <c r="F31" s="5" t="s">
        <v>31</v>
      </c>
      <c r="G31" s="7"/>
      <c r="H31" s="5"/>
    </row>
    <row r="32" spans="1:8" x14ac:dyDescent="0.15">
      <c r="A32" s="5" t="s">
        <v>121</v>
      </c>
      <c r="B32" s="6" t="s">
        <v>122</v>
      </c>
      <c r="C32" s="5"/>
      <c r="D32" s="7" t="s">
        <v>123</v>
      </c>
      <c r="E32" s="7" t="s">
        <v>124</v>
      </c>
      <c r="F32" s="5" t="s">
        <v>31</v>
      </c>
      <c r="G32" s="7"/>
      <c r="H32" s="5"/>
    </row>
    <row r="33" spans="1:8" x14ac:dyDescent="0.15">
      <c r="A33" s="5" t="s">
        <v>125</v>
      </c>
      <c r="B33" s="6" t="s">
        <v>122</v>
      </c>
      <c r="C33" s="5"/>
      <c r="D33" s="7" t="s">
        <v>126</v>
      </c>
      <c r="E33" s="7" t="s">
        <v>127</v>
      </c>
      <c r="F33" s="5" t="s">
        <v>31</v>
      </c>
      <c r="G33" s="7"/>
      <c r="H33" s="5"/>
    </row>
    <row r="34" spans="1:8" x14ac:dyDescent="0.15">
      <c r="A34" s="5" t="s">
        <v>128</v>
      </c>
      <c r="B34" s="6" t="s">
        <v>122</v>
      </c>
      <c r="C34" s="5"/>
      <c r="D34" s="7" t="s">
        <v>129</v>
      </c>
      <c r="E34" s="7" t="s">
        <v>130</v>
      </c>
      <c r="F34" s="5" t="s">
        <v>31</v>
      </c>
      <c r="G34" s="7"/>
      <c r="H34" s="5"/>
    </row>
    <row r="35" spans="1:8" x14ac:dyDescent="0.15">
      <c r="A35" s="5" t="s">
        <v>131</v>
      </c>
      <c r="B35" s="6" t="s">
        <v>122</v>
      </c>
      <c r="C35" s="5"/>
      <c r="D35" s="7" t="s">
        <v>132</v>
      </c>
      <c r="E35" s="7" t="s">
        <v>133</v>
      </c>
      <c r="F35" s="5" t="s">
        <v>31</v>
      </c>
      <c r="G35" s="7"/>
      <c r="H35" s="5"/>
    </row>
    <row r="36" spans="1:8" x14ac:dyDescent="0.15">
      <c r="A36" s="5" t="s">
        <v>134</v>
      </c>
      <c r="B36" s="6" t="s">
        <v>122</v>
      </c>
      <c r="C36" s="5"/>
      <c r="D36" s="7" t="s">
        <v>135</v>
      </c>
      <c r="E36" s="7" t="s">
        <v>136</v>
      </c>
      <c r="F36" s="5" t="s">
        <v>31</v>
      </c>
      <c r="G36" s="7"/>
      <c r="H36" s="5"/>
    </row>
    <row r="37" spans="1:8" x14ac:dyDescent="0.15">
      <c r="A37" s="5" t="s">
        <v>137</v>
      </c>
      <c r="B37" s="6" t="s">
        <v>122</v>
      </c>
      <c r="C37" s="5"/>
      <c r="D37" s="7" t="s">
        <v>138</v>
      </c>
      <c r="E37" s="7" t="s">
        <v>139</v>
      </c>
      <c r="F37" s="5" t="s">
        <v>31</v>
      </c>
      <c r="G37" s="7"/>
      <c r="H37" s="5"/>
    </row>
    <row r="38" spans="1:8" x14ac:dyDescent="0.15">
      <c r="A38" s="5" t="s">
        <v>140</v>
      </c>
      <c r="B38" s="6" t="s">
        <v>122</v>
      </c>
      <c r="C38" s="5"/>
      <c r="D38" s="7" t="s">
        <v>141</v>
      </c>
      <c r="E38" s="7" t="s">
        <v>142</v>
      </c>
      <c r="F38" s="5" t="s">
        <v>31</v>
      </c>
      <c r="G38" s="7"/>
      <c r="H38" s="5"/>
    </row>
    <row r="39" spans="1:8" x14ac:dyDescent="0.15">
      <c r="A39" s="5" t="s">
        <v>143</v>
      </c>
      <c r="B39" s="6" t="s">
        <v>122</v>
      </c>
      <c r="C39" s="5"/>
      <c r="D39" s="7" t="s">
        <v>144</v>
      </c>
      <c r="E39" s="7" t="s">
        <v>145</v>
      </c>
      <c r="F39" s="5" t="s">
        <v>31</v>
      </c>
      <c r="G39" s="7"/>
      <c r="H39" s="5"/>
    </row>
    <row r="40" spans="1:8" x14ac:dyDescent="0.15">
      <c r="A40" s="8" t="s">
        <v>146</v>
      </c>
      <c r="B40" s="9" t="s">
        <v>122</v>
      </c>
      <c r="C40" s="10" t="s">
        <v>21</v>
      </c>
      <c r="D40" s="11" t="s">
        <v>147</v>
      </c>
      <c r="E40" s="11" t="s">
        <v>148</v>
      </c>
      <c r="F40" s="8" t="s">
        <v>31</v>
      </c>
      <c r="G40" s="11"/>
      <c r="H40" s="8"/>
    </row>
    <row r="41" spans="1:8" x14ac:dyDescent="0.15">
      <c r="A41" s="5" t="s">
        <v>149</v>
      </c>
      <c r="B41" s="6" t="s">
        <v>122</v>
      </c>
      <c r="C41" s="5"/>
      <c r="D41" s="7" t="s">
        <v>150</v>
      </c>
      <c r="E41" s="7" t="s">
        <v>151</v>
      </c>
      <c r="F41" s="5" t="s">
        <v>31</v>
      </c>
      <c r="G41" s="7"/>
      <c r="H41" s="5"/>
    </row>
    <row r="42" spans="1:8" x14ac:dyDescent="0.15">
      <c r="A42" s="5" t="s">
        <v>152</v>
      </c>
      <c r="B42" s="6" t="s">
        <v>122</v>
      </c>
      <c r="C42" s="5"/>
      <c r="D42" s="7" t="s">
        <v>153</v>
      </c>
      <c r="E42" s="7" t="s">
        <v>154</v>
      </c>
      <c r="F42" s="5" t="s">
        <v>31</v>
      </c>
      <c r="G42" s="7"/>
      <c r="H42" s="5"/>
    </row>
    <row r="43" spans="1:8" x14ac:dyDescent="0.15">
      <c r="A43" s="5" t="s">
        <v>155</v>
      </c>
      <c r="B43" s="6" t="s">
        <v>122</v>
      </c>
      <c r="C43" s="5"/>
      <c r="D43" s="7" t="s">
        <v>156</v>
      </c>
      <c r="E43" s="7" t="s">
        <v>157</v>
      </c>
      <c r="F43" s="5" t="s">
        <v>31</v>
      </c>
      <c r="G43" s="7"/>
      <c r="H43" s="5"/>
    </row>
    <row r="44" spans="1:8" x14ac:dyDescent="0.15">
      <c r="A44" s="5" t="s">
        <v>158</v>
      </c>
      <c r="B44" s="6" t="s">
        <v>122</v>
      </c>
      <c r="C44" s="5"/>
      <c r="D44" s="7" t="s">
        <v>159</v>
      </c>
      <c r="E44" s="7" t="s">
        <v>160</v>
      </c>
      <c r="F44" s="5" t="s">
        <v>31</v>
      </c>
      <c r="G44" s="7"/>
      <c r="H44" s="5"/>
    </row>
    <row r="45" spans="1:8" x14ac:dyDescent="0.15">
      <c r="A45" s="8" t="s">
        <v>161</v>
      </c>
      <c r="B45" s="9" t="s">
        <v>122</v>
      </c>
      <c r="C45" s="10" t="s">
        <v>21</v>
      </c>
      <c r="D45" s="11" t="s">
        <v>162</v>
      </c>
      <c r="E45" s="11" t="s">
        <v>163</v>
      </c>
      <c r="F45" s="8" t="s">
        <v>31</v>
      </c>
      <c r="G45" s="11"/>
      <c r="H45" s="8"/>
    </row>
    <row r="46" spans="1:8" x14ac:dyDescent="0.15">
      <c r="A46" s="8" t="s">
        <v>164</v>
      </c>
      <c r="B46" s="9" t="s">
        <v>122</v>
      </c>
      <c r="C46" s="10" t="s">
        <v>21</v>
      </c>
      <c r="D46" s="11" t="s">
        <v>165</v>
      </c>
      <c r="E46" s="11" t="s">
        <v>166</v>
      </c>
      <c r="F46" s="8" t="s">
        <v>31</v>
      </c>
      <c r="G46" s="11"/>
      <c r="H46" s="8"/>
    </row>
    <row r="47" spans="1:8" x14ac:dyDescent="0.15">
      <c r="A47" s="8" t="s">
        <v>167</v>
      </c>
      <c r="B47" s="9" t="s">
        <v>122</v>
      </c>
      <c r="C47" s="10" t="s">
        <v>21</v>
      </c>
      <c r="D47" s="11" t="s">
        <v>168</v>
      </c>
      <c r="E47" s="11" t="s">
        <v>169</v>
      </c>
      <c r="F47" s="8" t="s">
        <v>31</v>
      </c>
      <c r="G47" s="11"/>
      <c r="H47" s="8"/>
    </row>
    <row r="48" spans="1:8" x14ac:dyDescent="0.15">
      <c r="A48" s="5" t="s">
        <v>170</v>
      </c>
      <c r="B48" s="6" t="s">
        <v>171</v>
      </c>
      <c r="C48" s="5"/>
      <c r="D48" s="7" t="s">
        <v>172</v>
      </c>
      <c r="E48" s="7" t="s">
        <v>173</v>
      </c>
      <c r="F48" s="5" t="s">
        <v>31</v>
      </c>
      <c r="G48" s="7"/>
      <c r="H48" s="5"/>
    </row>
    <row r="49" spans="1:8" x14ac:dyDescent="0.15">
      <c r="A49" s="8" t="s">
        <v>174</v>
      </c>
      <c r="B49" s="9" t="s">
        <v>171</v>
      </c>
      <c r="C49" s="10" t="s">
        <v>21</v>
      </c>
      <c r="D49" s="11" t="s">
        <v>175</v>
      </c>
      <c r="E49" s="11" t="s">
        <v>176</v>
      </c>
      <c r="F49" s="8" t="s">
        <v>31</v>
      </c>
      <c r="G49" s="11"/>
      <c r="H49" s="8"/>
    </row>
    <row r="50" spans="1:8" x14ac:dyDescent="0.15">
      <c r="A50" s="5" t="s">
        <v>177</v>
      </c>
      <c r="B50" s="6" t="s">
        <v>171</v>
      </c>
      <c r="C50" s="5"/>
      <c r="D50" s="7" t="s">
        <v>178</v>
      </c>
      <c r="E50" s="7" t="s">
        <v>179</v>
      </c>
      <c r="F50" s="5" t="s">
        <v>31</v>
      </c>
      <c r="G50" s="7"/>
      <c r="H50" s="5"/>
    </row>
    <row r="51" spans="1:8" x14ac:dyDescent="0.15">
      <c r="A51" s="5" t="s">
        <v>180</v>
      </c>
      <c r="B51" s="6" t="s">
        <v>171</v>
      </c>
      <c r="C51" s="5"/>
      <c r="D51" s="7" t="s">
        <v>181</v>
      </c>
      <c r="E51" s="7" t="s">
        <v>182</v>
      </c>
      <c r="F51" s="5" t="s">
        <v>31</v>
      </c>
      <c r="G51" s="7"/>
      <c r="H51" s="5"/>
    </row>
    <row r="52" spans="1:8" x14ac:dyDescent="0.15">
      <c r="A52" s="8" t="s">
        <v>183</v>
      </c>
      <c r="B52" s="9" t="s">
        <v>171</v>
      </c>
      <c r="C52" s="10" t="s">
        <v>21</v>
      </c>
      <c r="D52" s="11" t="s">
        <v>184</v>
      </c>
      <c r="E52" s="11" t="s">
        <v>185</v>
      </c>
      <c r="F52" s="8" t="s">
        <v>31</v>
      </c>
      <c r="G52" s="11"/>
      <c r="H52" s="8"/>
    </row>
    <row r="53" spans="1:8" x14ac:dyDescent="0.15">
      <c r="A53" s="5" t="s">
        <v>186</v>
      </c>
      <c r="B53" s="6" t="s">
        <v>171</v>
      </c>
      <c r="C53" s="5"/>
      <c r="D53" s="7" t="s">
        <v>187</v>
      </c>
      <c r="E53" s="7" t="s">
        <v>188</v>
      </c>
      <c r="F53" s="5" t="s">
        <v>31</v>
      </c>
      <c r="G53" s="7"/>
      <c r="H53" s="5"/>
    </row>
    <row r="54" spans="1:8" x14ac:dyDescent="0.15">
      <c r="A54" s="5" t="s">
        <v>189</v>
      </c>
      <c r="B54" s="6" t="s">
        <v>190</v>
      </c>
      <c r="C54" s="5"/>
      <c r="D54" s="7" t="s">
        <v>191</v>
      </c>
      <c r="E54" s="7" t="s">
        <v>192</v>
      </c>
      <c r="F54" s="5" t="s">
        <v>31</v>
      </c>
      <c r="G54" s="7"/>
      <c r="H54" s="5"/>
    </row>
    <row r="55" spans="1:8" x14ac:dyDescent="0.15">
      <c r="A55" s="5" t="s">
        <v>193</v>
      </c>
      <c r="B55" s="6" t="s">
        <v>190</v>
      </c>
      <c r="C55" s="5"/>
      <c r="D55" s="7" t="s">
        <v>194</v>
      </c>
      <c r="E55" s="7" t="s">
        <v>195</v>
      </c>
      <c r="F55" s="5" t="s">
        <v>31</v>
      </c>
      <c r="G55" s="7"/>
      <c r="H55" s="5"/>
    </row>
    <row r="56" spans="1:8" x14ac:dyDescent="0.15">
      <c r="A56" s="5" t="s">
        <v>196</v>
      </c>
      <c r="B56" s="6" t="s">
        <v>190</v>
      </c>
      <c r="C56" s="5"/>
      <c r="D56" s="7" t="s">
        <v>197</v>
      </c>
      <c r="E56" s="7" t="s">
        <v>198</v>
      </c>
      <c r="F56" s="5" t="s">
        <v>31</v>
      </c>
      <c r="G56" s="7"/>
      <c r="H56" s="5"/>
    </row>
    <row r="57" spans="1:8" x14ac:dyDescent="0.15">
      <c r="A57" s="5" t="s">
        <v>199</v>
      </c>
      <c r="B57" s="6" t="s">
        <v>190</v>
      </c>
      <c r="C57" s="5"/>
      <c r="D57" s="7" t="s">
        <v>200</v>
      </c>
      <c r="E57" s="7" t="s">
        <v>201</v>
      </c>
      <c r="F57" s="5" t="s">
        <v>31</v>
      </c>
      <c r="G57" s="7"/>
      <c r="H57" s="5"/>
    </row>
    <row r="58" spans="1:8" x14ac:dyDescent="0.15">
      <c r="A58" s="5" t="s">
        <v>202</v>
      </c>
      <c r="B58" s="6" t="s">
        <v>203</v>
      </c>
      <c r="C58" s="5"/>
      <c r="D58" s="7" t="s">
        <v>204</v>
      </c>
      <c r="E58" s="7" t="s">
        <v>205</v>
      </c>
      <c r="F58" s="5" t="s">
        <v>31</v>
      </c>
      <c r="G58" s="7"/>
      <c r="H58" s="5"/>
    </row>
    <row r="59" spans="1:8" x14ac:dyDescent="0.15">
      <c r="A59" s="5" t="s">
        <v>206</v>
      </c>
      <c r="B59" s="6" t="s">
        <v>203</v>
      </c>
      <c r="C59" s="5"/>
      <c r="D59" s="7" t="s">
        <v>207</v>
      </c>
      <c r="E59" s="7" t="s">
        <v>208</v>
      </c>
      <c r="F59" s="5" t="s">
        <v>31</v>
      </c>
      <c r="G59" s="7"/>
      <c r="H59" s="5"/>
    </row>
    <row r="60" spans="1:8" x14ac:dyDescent="0.15">
      <c r="A60" s="5" t="s">
        <v>209</v>
      </c>
      <c r="B60" s="6" t="s">
        <v>203</v>
      </c>
      <c r="C60" s="5"/>
      <c r="D60" s="7" t="s">
        <v>210</v>
      </c>
      <c r="E60" s="7" t="s">
        <v>211</v>
      </c>
      <c r="F60" s="5" t="s">
        <v>31</v>
      </c>
      <c r="G60" s="7"/>
      <c r="H60" s="5"/>
    </row>
    <row r="61" spans="1:8" x14ac:dyDescent="0.15">
      <c r="A61" s="5" t="s">
        <v>212</v>
      </c>
      <c r="B61" s="6" t="s">
        <v>203</v>
      </c>
      <c r="C61" s="5"/>
      <c r="D61" s="7" t="s">
        <v>213</v>
      </c>
      <c r="E61" s="7" t="s">
        <v>214</v>
      </c>
      <c r="F61" s="5" t="s">
        <v>31</v>
      </c>
      <c r="G61" s="7"/>
      <c r="H61" s="5"/>
    </row>
    <row r="62" spans="1:8" x14ac:dyDescent="0.15">
      <c r="A62" s="5" t="s">
        <v>215</v>
      </c>
      <c r="B62" s="6" t="s">
        <v>203</v>
      </c>
      <c r="C62" s="5"/>
      <c r="D62" s="7" t="s">
        <v>216</v>
      </c>
      <c r="E62" s="7" t="s">
        <v>217</v>
      </c>
      <c r="F62" s="5" t="s">
        <v>31</v>
      </c>
      <c r="G62" s="7"/>
      <c r="H62" s="5"/>
    </row>
    <row r="63" spans="1:8" x14ac:dyDescent="0.15">
      <c r="A63" s="5" t="s">
        <v>218</v>
      </c>
      <c r="B63" s="6" t="s">
        <v>203</v>
      </c>
      <c r="C63" s="5"/>
      <c r="D63" s="7" t="s">
        <v>219</v>
      </c>
      <c r="E63" s="7" t="s">
        <v>220</v>
      </c>
      <c r="F63" s="5" t="s">
        <v>31</v>
      </c>
      <c r="G63" s="7"/>
      <c r="H63" s="5"/>
    </row>
    <row r="64" spans="1:8" x14ac:dyDescent="0.15">
      <c r="A64" s="5" t="s">
        <v>221</v>
      </c>
      <c r="B64" s="6" t="s">
        <v>203</v>
      </c>
      <c r="C64" s="5"/>
      <c r="D64" s="7" t="s">
        <v>222</v>
      </c>
      <c r="E64" s="7" t="s">
        <v>223</v>
      </c>
      <c r="F64" s="5" t="s">
        <v>31</v>
      </c>
      <c r="G64" s="7"/>
      <c r="H64" s="5"/>
    </row>
    <row r="65" spans="1:8" x14ac:dyDescent="0.15">
      <c r="A65" s="5" t="s">
        <v>224</v>
      </c>
      <c r="B65" s="6" t="s">
        <v>203</v>
      </c>
      <c r="C65" s="5"/>
      <c r="D65" s="7" t="s">
        <v>225</v>
      </c>
      <c r="E65" s="7" t="s">
        <v>226</v>
      </c>
      <c r="F65" s="5" t="s">
        <v>31</v>
      </c>
      <c r="G65" s="7"/>
      <c r="H65" s="5"/>
    </row>
    <row r="66" spans="1:8" x14ac:dyDescent="0.15">
      <c r="A66" s="5" t="s">
        <v>227</v>
      </c>
      <c r="B66" s="6" t="s">
        <v>203</v>
      </c>
      <c r="C66" s="5"/>
      <c r="D66" s="7" t="s">
        <v>228</v>
      </c>
      <c r="E66" s="7" t="s">
        <v>229</v>
      </c>
      <c r="F66" s="5" t="s">
        <v>31</v>
      </c>
      <c r="G66" s="7"/>
      <c r="H66" s="5"/>
    </row>
    <row r="67" spans="1:8" x14ac:dyDescent="0.15">
      <c r="A67" s="5" t="s">
        <v>230</v>
      </c>
      <c r="B67" s="6" t="s">
        <v>231</v>
      </c>
      <c r="C67" s="5"/>
      <c r="D67" s="7" t="s">
        <v>232</v>
      </c>
      <c r="E67" s="7" t="s">
        <v>233</v>
      </c>
      <c r="F67" s="5" t="s">
        <v>31</v>
      </c>
      <c r="G67" s="7"/>
      <c r="H67" s="5"/>
    </row>
    <row r="68" spans="1:8" x14ac:dyDescent="0.15">
      <c r="A68" s="5" t="s">
        <v>234</v>
      </c>
      <c r="B68" s="6" t="s">
        <v>231</v>
      </c>
      <c r="C68" s="5"/>
      <c r="D68" s="7" t="s">
        <v>235</v>
      </c>
      <c r="E68" s="7" t="s">
        <v>236</v>
      </c>
      <c r="F68" s="5" t="s">
        <v>31</v>
      </c>
      <c r="G68" s="7"/>
      <c r="H68" s="5"/>
    </row>
    <row r="69" spans="1:8" x14ac:dyDescent="0.15">
      <c r="A69" s="5" t="s">
        <v>237</v>
      </c>
      <c r="B69" s="6" t="s">
        <v>231</v>
      </c>
      <c r="C69" s="5"/>
      <c r="D69" s="7" t="s">
        <v>238</v>
      </c>
      <c r="E69" s="7" t="s">
        <v>239</v>
      </c>
      <c r="F69" s="5" t="s">
        <v>31</v>
      </c>
      <c r="G69" s="7"/>
      <c r="H69" s="5"/>
    </row>
    <row r="70" spans="1:8" x14ac:dyDescent="0.15">
      <c r="A70" s="5" t="s">
        <v>240</v>
      </c>
      <c r="B70" s="6" t="s">
        <v>231</v>
      </c>
      <c r="C70" s="5"/>
      <c r="D70" s="7" t="s">
        <v>241</v>
      </c>
      <c r="E70" s="7" t="s">
        <v>242</v>
      </c>
      <c r="F70" s="5" t="s">
        <v>31</v>
      </c>
      <c r="G70" s="7"/>
      <c r="H70" s="5"/>
    </row>
    <row r="71" spans="1:8" x14ac:dyDescent="0.15">
      <c r="A71" s="5" t="s">
        <v>243</v>
      </c>
      <c r="B71" s="6" t="s">
        <v>231</v>
      </c>
      <c r="C71" s="5"/>
      <c r="D71" s="7" t="s">
        <v>244</v>
      </c>
      <c r="E71" s="7" t="s">
        <v>245</v>
      </c>
      <c r="F71" s="5" t="s">
        <v>31</v>
      </c>
      <c r="G71" s="7"/>
      <c r="H71" s="5"/>
    </row>
    <row r="72" spans="1:8" x14ac:dyDescent="0.15">
      <c r="A72" s="5" t="s">
        <v>246</v>
      </c>
      <c r="B72" s="6" t="s">
        <v>247</v>
      </c>
      <c r="C72" s="5"/>
      <c r="D72" s="7" t="s">
        <v>248</v>
      </c>
      <c r="E72" s="7" t="s">
        <v>249</v>
      </c>
      <c r="F72" s="5" t="s">
        <v>31</v>
      </c>
      <c r="G72" s="7"/>
      <c r="H72" s="5"/>
    </row>
    <row r="73" spans="1:8" x14ac:dyDescent="0.15">
      <c r="A73" s="5" t="s">
        <v>250</v>
      </c>
      <c r="B73" s="6" t="s">
        <v>247</v>
      </c>
      <c r="C73" s="5"/>
      <c r="D73" s="7" t="s">
        <v>251</v>
      </c>
      <c r="E73" s="7" t="s">
        <v>252</v>
      </c>
      <c r="F73" s="5" t="s">
        <v>31</v>
      </c>
      <c r="G73" s="7"/>
      <c r="H73" s="5"/>
    </row>
    <row r="74" spans="1:8" x14ac:dyDescent="0.15">
      <c r="A74" s="5" t="s">
        <v>253</v>
      </c>
      <c r="B74" s="6" t="s">
        <v>247</v>
      </c>
      <c r="C74" s="5"/>
      <c r="D74" s="7" t="s">
        <v>254</v>
      </c>
      <c r="E74" s="7" t="s">
        <v>255</v>
      </c>
      <c r="F74" s="5" t="s">
        <v>31</v>
      </c>
      <c r="G74" s="7"/>
      <c r="H74" s="5"/>
    </row>
    <row r="75" spans="1:8" x14ac:dyDescent="0.15">
      <c r="A75" s="5" t="s">
        <v>256</v>
      </c>
      <c r="B75" s="6" t="s">
        <v>247</v>
      </c>
      <c r="C75" s="5"/>
      <c r="D75" s="7" t="s">
        <v>257</v>
      </c>
      <c r="E75" s="7" t="s">
        <v>258</v>
      </c>
      <c r="F75" s="5" t="s">
        <v>31</v>
      </c>
      <c r="G75" s="7"/>
      <c r="H75" s="5"/>
    </row>
    <row r="76" spans="1:8" x14ac:dyDescent="0.15">
      <c r="A76" s="8" t="s">
        <v>259</v>
      </c>
      <c r="B76" s="9" t="s">
        <v>247</v>
      </c>
      <c r="C76" s="10" t="s">
        <v>21</v>
      </c>
      <c r="D76" s="11" t="s">
        <v>260</v>
      </c>
      <c r="E76" s="11" t="s">
        <v>261</v>
      </c>
      <c r="F76" s="8" t="s">
        <v>31</v>
      </c>
      <c r="G76" s="11"/>
      <c r="H76" s="8"/>
    </row>
    <row r="77" spans="1:8" x14ac:dyDescent="0.15">
      <c r="A77" s="5" t="s">
        <v>262</v>
      </c>
      <c r="B77" s="6" t="s">
        <v>247</v>
      </c>
      <c r="C77" s="5"/>
      <c r="D77" s="7" t="s">
        <v>263</v>
      </c>
      <c r="E77" s="7" t="s">
        <v>264</v>
      </c>
      <c r="F77" s="5" t="s">
        <v>31</v>
      </c>
      <c r="G77" s="7"/>
      <c r="H77" s="5"/>
    </row>
    <row r="78" spans="1:8" x14ac:dyDescent="0.15">
      <c r="A78" s="8" t="s">
        <v>265</v>
      </c>
      <c r="B78" s="9" t="s">
        <v>247</v>
      </c>
      <c r="C78" s="10" t="s">
        <v>21</v>
      </c>
      <c r="D78" s="11" t="s">
        <v>266</v>
      </c>
      <c r="E78" s="11" t="s">
        <v>267</v>
      </c>
      <c r="F78" s="8" t="s">
        <v>31</v>
      </c>
      <c r="G78" s="11"/>
      <c r="H78" s="8"/>
    </row>
    <row r="79" spans="1:8" x14ac:dyDescent="0.15">
      <c r="A79" s="5" t="s">
        <v>268</v>
      </c>
      <c r="B79" s="6" t="s">
        <v>269</v>
      </c>
      <c r="C79" s="5"/>
      <c r="D79" s="7" t="s">
        <v>270</v>
      </c>
      <c r="E79" s="7" t="s">
        <v>271</v>
      </c>
      <c r="F79" s="5" t="s">
        <v>31</v>
      </c>
      <c r="G79" s="7"/>
      <c r="H79" s="5"/>
    </row>
    <row r="80" spans="1:8" x14ac:dyDescent="0.15">
      <c r="A80" s="8" t="s">
        <v>272</v>
      </c>
      <c r="B80" s="9" t="s">
        <v>269</v>
      </c>
      <c r="C80" s="10" t="s">
        <v>21</v>
      </c>
      <c r="D80" s="11" t="s">
        <v>273</v>
      </c>
      <c r="E80" s="11" t="s">
        <v>274</v>
      </c>
      <c r="F80" s="8" t="s">
        <v>31</v>
      </c>
      <c r="G80" s="11"/>
      <c r="H80" s="8"/>
    </row>
    <row r="81" spans="1:8" x14ac:dyDescent="0.15">
      <c r="A81" s="5" t="s">
        <v>275</v>
      </c>
      <c r="B81" s="6" t="s">
        <v>269</v>
      </c>
      <c r="C81" s="5"/>
      <c r="D81" s="7" t="s">
        <v>276</v>
      </c>
      <c r="E81" s="7" t="s">
        <v>277</v>
      </c>
      <c r="F81" s="5" t="s">
        <v>31</v>
      </c>
      <c r="G81" s="7"/>
      <c r="H81" s="5"/>
    </row>
    <row r="82" spans="1:8" x14ac:dyDescent="0.15">
      <c r="A82" s="5" t="s">
        <v>278</v>
      </c>
      <c r="B82" s="6" t="s">
        <v>269</v>
      </c>
      <c r="C82" s="5"/>
      <c r="D82" s="7" t="s">
        <v>279</v>
      </c>
      <c r="E82" s="7" t="s">
        <v>280</v>
      </c>
      <c r="F82" s="5" t="s">
        <v>31</v>
      </c>
      <c r="G82" s="7"/>
      <c r="H82" s="5"/>
    </row>
    <row r="83" spans="1:8" x14ac:dyDescent="0.15">
      <c r="A83" s="5" t="s">
        <v>281</v>
      </c>
      <c r="B83" s="6" t="s">
        <v>269</v>
      </c>
      <c r="C83" s="5"/>
      <c r="D83" s="7" t="s">
        <v>282</v>
      </c>
      <c r="E83" s="7" t="s">
        <v>283</v>
      </c>
      <c r="F83" s="5" t="s">
        <v>31</v>
      </c>
      <c r="G83" s="7"/>
      <c r="H83" s="5"/>
    </row>
    <row r="84" spans="1:8" x14ac:dyDescent="0.15">
      <c r="A84" s="5" t="s">
        <v>284</v>
      </c>
      <c r="B84" s="6" t="s">
        <v>269</v>
      </c>
      <c r="C84" s="5"/>
      <c r="D84" s="7" t="s">
        <v>285</v>
      </c>
      <c r="E84" s="7" t="s">
        <v>286</v>
      </c>
      <c r="F84" s="5" t="s">
        <v>31</v>
      </c>
      <c r="G84" s="7"/>
      <c r="H84" s="5"/>
    </row>
    <row r="85" spans="1:8" x14ac:dyDescent="0.15">
      <c r="A85" s="5" t="s">
        <v>287</v>
      </c>
      <c r="B85" s="6" t="s">
        <v>288</v>
      </c>
      <c r="C85" s="5"/>
      <c r="D85" s="7" t="s">
        <v>289</v>
      </c>
      <c r="E85" s="7" t="s">
        <v>290</v>
      </c>
      <c r="F85" s="5" t="s">
        <v>31</v>
      </c>
      <c r="G85" s="7"/>
      <c r="H85" s="5"/>
    </row>
    <row r="86" spans="1:8" x14ac:dyDescent="0.15">
      <c r="A86" s="5" t="s">
        <v>291</v>
      </c>
      <c r="B86" s="6" t="s">
        <v>288</v>
      </c>
      <c r="C86" s="5"/>
      <c r="D86" s="7" t="s">
        <v>292</v>
      </c>
      <c r="E86" s="7" t="s">
        <v>293</v>
      </c>
      <c r="F86" s="5" t="s">
        <v>31</v>
      </c>
      <c r="G86" s="7"/>
      <c r="H86" s="5"/>
    </row>
    <row r="87" spans="1:8" x14ac:dyDescent="0.15">
      <c r="A87" s="5" t="s">
        <v>294</v>
      </c>
      <c r="B87" s="6" t="s">
        <v>295</v>
      </c>
      <c r="C87" s="5"/>
      <c r="D87" s="7" t="s">
        <v>296</v>
      </c>
      <c r="E87" s="7" t="s">
        <v>297</v>
      </c>
      <c r="F87" s="5" t="s">
        <v>31</v>
      </c>
      <c r="G87" s="7"/>
      <c r="H87" s="5"/>
    </row>
    <row r="88" spans="1:8" x14ac:dyDescent="0.15">
      <c r="A88" s="5" t="s">
        <v>298</v>
      </c>
      <c r="B88" s="6" t="s">
        <v>295</v>
      </c>
      <c r="C88" s="5"/>
      <c r="D88" s="7" t="s">
        <v>299</v>
      </c>
      <c r="E88" s="7" t="s">
        <v>300</v>
      </c>
      <c r="F88" s="5" t="s">
        <v>31</v>
      </c>
      <c r="G88" s="7"/>
      <c r="H88" s="5"/>
    </row>
    <row r="89" spans="1:8" x14ac:dyDescent="0.15">
      <c r="A89" s="8" t="s">
        <v>301</v>
      </c>
      <c r="B89" s="9" t="s">
        <v>295</v>
      </c>
      <c r="C89" s="10" t="s">
        <v>21</v>
      </c>
      <c r="D89" s="11" t="s">
        <v>302</v>
      </c>
      <c r="E89" s="11" t="s">
        <v>303</v>
      </c>
      <c r="F89" s="8" t="s">
        <v>31</v>
      </c>
      <c r="G89" s="11"/>
      <c r="H89" s="8"/>
    </row>
    <row r="90" spans="1:8" x14ac:dyDescent="0.15">
      <c r="A90" s="8" t="s">
        <v>304</v>
      </c>
      <c r="B90" s="9" t="s">
        <v>295</v>
      </c>
      <c r="C90" s="10" t="s">
        <v>21</v>
      </c>
      <c r="D90" s="11" t="s">
        <v>305</v>
      </c>
      <c r="E90" s="11" t="s">
        <v>306</v>
      </c>
      <c r="F90" s="8" t="s">
        <v>31</v>
      </c>
      <c r="G90" s="11"/>
      <c r="H90" s="8"/>
    </row>
    <row r="91" spans="1:8" x14ac:dyDescent="0.15">
      <c r="A91" s="5" t="s">
        <v>307</v>
      </c>
      <c r="B91" s="6" t="s">
        <v>308</v>
      </c>
      <c r="C91" s="5"/>
      <c r="D91" s="7" t="s">
        <v>309</v>
      </c>
      <c r="E91" s="7" t="s">
        <v>310</v>
      </c>
      <c r="F91" s="5" t="s">
        <v>31</v>
      </c>
      <c r="G91" s="7"/>
      <c r="H91" s="5"/>
    </row>
    <row r="92" spans="1:8" x14ac:dyDescent="0.15">
      <c r="A92" s="5" t="s">
        <v>311</v>
      </c>
      <c r="B92" s="6" t="s">
        <v>308</v>
      </c>
      <c r="C92" s="5"/>
      <c r="D92" s="7" t="s">
        <v>312</v>
      </c>
      <c r="E92" s="7" t="s">
        <v>313</v>
      </c>
      <c r="F92" s="5" t="s">
        <v>31</v>
      </c>
      <c r="G92" s="7"/>
      <c r="H92" s="5"/>
    </row>
    <row r="93" spans="1:8" x14ac:dyDescent="0.15">
      <c r="A93" s="5" t="s">
        <v>314</v>
      </c>
      <c r="B93" s="6" t="s">
        <v>308</v>
      </c>
      <c r="C93" s="5"/>
      <c r="D93" s="7" t="s">
        <v>315</v>
      </c>
      <c r="E93" s="7" t="s">
        <v>316</v>
      </c>
      <c r="F93" s="5" t="s">
        <v>31</v>
      </c>
      <c r="G93" s="7"/>
      <c r="H93" s="5"/>
    </row>
    <row r="94" spans="1:8" x14ac:dyDescent="0.15">
      <c r="A94" s="5" t="s">
        <v>317</v>
      </c>
      <c r="B94" s="6" t="s">
        <v>308</v>
      </c>
      <c r="C94" s="5"/>
      <c r="D94" s="7" t="s">
        <v>318</v>
      </c>
      <c r="E94" s="7" t="s">
        <v>319</v>
      </c>
      <c r="F94" s="5" t="s">
        <v>31</v>
      </c>
      <c r="G94" s="7"/>
      <c r="H94" s="5"/>
    </row>
    <row r="95" spans="1:8" x14ac:dyDescent="0.15">
      <c r="A95" s="5" t="s">
        <v>320</v>
      </c>
      <c r="B95" s="6" t="s">
        <v>321</v>
      </c>
      <c r="C95" s="5"/>
      <c r="D95" s="7" t="s">
        <v>322</v>
      </c>
      <c r="E95" s="7" t="s">
        <v>323</v>
      </c>
      <c r="F95" s="5" t="s">
        <v>31</v>
      </c>
      <c r="G95" s="7"/>
      <c r="H95" s="5"/>
    </row>
    <row r="96" spans="1:8" x14ac:dyDescent="0.15">
      <c r="A96" s="8" t="s">
        <v>324</v>
      </c>
      <c r="B96" s="9" t="s">
        <v>321</v>
      </c>
      <c r="C96" s="10" t="s">
        <v>21</v>
      </c>
      <c r="D96" s="11" t="s">
        <v>325</v>
      </c>
      <c r="E96" s="11" t="s">
        <v>326</v>
      </c>
      <c r="F96" s="8" t="s">
        <v>31</v>
      </c>
      <c r="G96" s="11"/>
      <c r="H96" s="8"/>
    </row>
    <row r="97" spans="1:8" x14ac:dyDescent="0.15">
      <c r="A97" s="5" t="s">
        <v>327</v>
      </c>
      <c r="B97" s="6" t="s">
        <v>321</v>
      </c>
      <c r="C97" s="5"/>
      <c r="D97" s="7" t="s">
        <v>328</v>
      </c>
      <c r="E97" s="7" t="s">
        <v>329</v>
      </c>
      <c r="F97" s="5" t="s">
        <v>31</v>
      </c>
      <c r="G97" s="7"/>
      <c r="H97" s="5"/>
    </row>
    <row r="98" spans="1:8" x14ac:dyDescent="0.15">
      <c r="A98" s="5" t="s">
        <v>330</v>
      </c>
      <c r="B98" s="6" t="s">
        <v>321</v>
      </c>
      <c r="C98" s="5"/>
      <c r="D98" s="7" t="s">
        <v>331</v>
      </c>
      <c r="E98" s="7" t="s">
        <v>332</v>
      </c>
      <c r="F98" s="5" t="s">
        <v>31</v>
      </c>
      <c r="G98" s="7"/>
      <c r="H98" s="5"/>
    </row>
    <row r="99" spans="1:8" x14ac:dyDescent="0.15">
      <c r="A99" s="5" t="s">
        <v>333</v>
      </c>
      <c r="B99" s="6" t="s">
        <v>334</v>
      </c>
      <c r="C99" s="5"/>
      <c r="D99" s="7" t="s">
        <v>335</v>
      </c>
      <c r="E99" s="7" t="s">
        <v>336</v>
      </c>
      <c r="F99" s="5" t="s">
        <v>31</v>
      </c>
      <c r="G99" s="7"/>
      <c r="H99" s="5"/>
    </row>
    <row r="100" spans="1:8" x14ac:dyDescent="0.15">
      <c r="A100" s="8" t="s">
        <v>337</v>
      </c>
      <c r="B100" s="9" t="s">
        <v>334</v>
      </c>
      <c r="C100" s="10" t="s">
        <v>21</v>
      </c>
      <c r="D100" s="11" t="s">
        <v>338</v>
      </c>
      <c r="E100" s="11" t="s">
        <v>339</v>
      </c>
      <c r="F100" s="8" t="s">
        <v>31</v>
      </c>
      <c r="G100" s="11"/>
      <c r="H100" s="8"/>
    </row>
    <row r="101" spans="1:8" x14ac:dyDescent="0.15">
      <c r="A101" s="5" t="s">
        <v>340</v>
      </c>
      <c r="B101" s="6" t="s">
        <v>334</v>
      </c>
      <c r="C101" s="5"/>
      <c r="D101" s="7" t="s">
        <v>341</v>
      </c>
      <c r="E101" s="7" t="s">
        <v>342</v>
      </c>
      <c r="F101" s="5" t="s">
        <v>31</v>
      </c>
      <c r="G101" s="7"/>
      <c r="H101" s="5"/>
    </row>
    <row r="102" spans="1:8" x14ac:dyDescent="0.15">
      <c r="A102" s="5" t="s">
        <v>343</v>
      </c>
      <c r="B102" s="6" t="s">
        <v>334</v>
      </c>
      <c r="C102" s="5"/>
      <c r="D102" s="7" t="s">
        <v>344</v>
      </c>
      <c r="E102" s="7" t="s">
        <v>345</v>
      </c>
      <c r="F102" s="5" t="s">
        <v>31</v>
      </c>
      <c r="G102" s="7"/>
      <c r="H102" s="5"/>
    </row>
    <row r="103" spans="1:8" x14ac:dyDescent="0.15">
      <c r="A103" s="5" t="s">
        <v>346</v>
      </c>
      <c r="B103" s="6" t="s">
        <v>334</v>
      </c>
      <c r="C103" s="5"/>
      <c r="D103" s="7" t="s">
        <v>347</v>
      </c>
      <c r="E103" s="7" t="s">
        <v>348</v>
      </c>
      <c r="F103" s="5" t="s">
        <v>31</v>
      </c>
      <c r="G103" s="7"/>
      <c r="H103" s="5"/>
    </row>
    <row r="104" spans="1:8" x14ac:dyDescent="0.15">
      <c r="A104" s="8" t="s">
        <v>349</v>
      </c>
      <c r="B104" s="9" t="s">
        <v>334</v>
      </c>
      <c r="C104" s="10" t="s">
        <v>21</v>
      </c>
      <c r="D104" s="11" t="s">
        <v>350</v>
      </c>
      <c r="E104" s="11" t="s">
        <v>351</v>
      </c>
      <c r="F104" s="8" t="s">
        <v>31</v>
      </c>
      <c r="G104" s="11"/>
      <c r="H104" s="8"/>
    </row>
    <row r="105" spans="1:8" x14ac:dyDescent="0.15">
      <c r="A105" s="5" t="s">
        <v>352</v>
      </c>
      <c r="B105" s="6" t="s">
        <v>334</v>
      </c>
      <c r="C105" s="5"/>
      <c r="D105" s="7" t="s">
        <v>353</v>
      </c>
      <c r="E105" s="7" t="s">
        <v>354</v>
      </c>
      <c r="F105" s="5" t="s">
        <v>31</v>
      </c>
      <c r="G105" s="7"/>
      <c r="H105" s="5"/>
    </row>
    <row r="106" spans="1:8" x14ac:dyDescent="0.15">
      <c r="A106" s="5" t="s">
        <v>355</v>
      </c>
      <c r="B106" s="6" t="s">
        <v>334</v>
      </c>
      <c r="C106" s="5"/>
      <c r="D106" s="7" t="s">
        <v>356</v>
      </c>
      <c r="E106" s="7" t="s">
        <v>357</v>
      </c>
      <c r="F106" s="5" t="s">
        <v>31</v>
      </c>
      <c r="G106" s="7"/>
      <c r="H106" s="5"/>
    </row>
    <row r="107" spans="1:8" x14ac:dyDescent="0.15">
      <c r="A107" s="8" t="s">
        <v>358</v>
      </c>
      <c r="B107" s="9" t="s">
        <v>334</v>
      </c>
      <c r="C107" s="10" t="s">
        <v>21</v>
      </c>
      <c r="D107" s="11" t="s">
        <v>359</v>
      </c>
      <c r="E107" s="11" t="s">
        <v>360</v>
      </c>
      <c r="F107" s="8" t="s">
        <v>31</v>
      </c>
      <c r="G107" s="11"/>
      <c r="H107" s="8"/>
    </row>
    <row r="108" spans="1:8" x14ac:dyDescent="0.15">
      <c r="A108" s="5" t="s">
        <v>361</v>
      </c>
      <c r="B108" s="6" t="s">
        <v>334</v>
      </c>
      <c r="C108" s="5"/>
      <c r="D108" s="7" t="s">
        <v>362</v>
      </c>
      <c r="E108" s="7" t="s">
        <v>363</v>
      </c>
      <c r="F108" s="5" t="s">
        <v>31</v>
      </c>
      <c r="G108" s="7"/>
      <c r="H108" s="5"/>
    </row>
    <row r="109" spans="1:8" x14ac:dyDescent="0.15">
      <c r="A109" s="5" t="s">
        <v>364</v>
      </c>
      <c r="B109" s="6" t="s">
        <v>365</v>
      </c>
      <c r="C109" s="5"/>
      <c r="D109" s="7" t="s">
        <v>366</v>
      </c>
      <c r="E109" s="7" t="s">
        <v>367</v>
      </c>
      <c r="F109" s="5" t="s">
        <v>31</v>
      </c>
      <c r="G109" s="7"/>
      <c r="H109" s="5"/>
    </row>
    <row r="110" spans="1:8" x14ac:dyDescent="0.15">
      <c r="A110" s="8" t="s">
        <v>368</v>
      </c>
      <c r="B110" s="9" t="s">
        <v>365</v>
      </c>
      <c r="C110" s="10" t="s">
        <v>21</v>
      </c>
      <c r="D110" s="11" t="s">
        <v>369</v>
      </c>
      <c r="E110" s="11" t="s">
        <v>370</v>
      </c>
      <c r="F110" s="8" t="s">
        <v>31</v>
      </c>
      <c r="G110" s="11"/>
      <c r="H110" s="8"/>
    </row>
    <row r="111" spans="1:8" x14ac:dyDescent="0.15">
      <c r="A111" s="8" t="s">
        <v>371</v>
      </c>
      <c r="B111" s="9" t="s">
        <v>365</v>
      </c>
      <c r="C111" s="10" t="s">
        <v>21</v>
      </c>
      <c r="D111" s="11" t="s">
        <v>372</v>
      </c>
      <c r="E111" s="11" t="s">
        <v>373</v>
      </c>
      <c r="F111" s="8" t="s">
        <v>31</v>
      </c>
      <c r="G111" s="11"/>
      <c r="H111" s="8"/>
    </row>
    <row r="112" spans="1:8" x14ac:dyDescent="0.15">
      <c r="A112" s="8" t="s">
        <v>374</v>
      </c>
      <c r="B112" s="9" t="s">
        <v>365</v>
      </c>
      <c r="C112" s="10" t="s">
        <v>21</v>
      </c>
      <c r="D112" s="11" t="s">
        <v>375</v>
      </c>
      <c r="E112" s="11" t="s">
        <v>376</v>
      </c>
      <c r="F112" s="8" t="s">
        <v>31</v>
      </c>
      <c r="G112" s="11"/>
      <c r="H112" s="8"/>
    </row>
    <row r="113" spans="1:8" x14ac:dyDescent="0.15">
      <c r="A113" s="5" t="s">
        <v>377</v>
      </c>
      <c r="B113" s="6" t="s">
        <v>365</v>
      </c>
      <c r="C113" s="5"/>
      <c r="D113" s="7" t="s">
        <v>378</v>
      </c>
      <c r="E113" s="7" t="s">
        <v>379</v>
      </c>
      <c r="F113" s="5" t="s">
        <v>31</v>
      </c>
      <c r="G113" s="7"/>
      <c r="H113" s="5"/>
    </row>
    <row r="114" spans="1:8" x14ac:dyDescent="0.15">
      <c r="A114" s="8" t="s">
        <v>380</v>
      </c>
      <c r="B114" s="9" t="s">
        <v>365</v>
      </c>
      <c r="C114" s="10" t="s">
        <v>21</v>
      </c>
      <c r="D114" s="11" t="s">
        <v>381</v>
      </c>
      <c r="E114" s="11" t="s">
        <v>382</v>
      </c>
      <c r="F114" s="8" t="s">
        <v>31</v>
      </c>
      <c r="G114" s="11"/>
      <c r="H114" s="8"/>
    </row>
    <row r="115" spans="1:8" x14ac:dyDescent="0.15">
      <c r="A115" s="5" t="s">
        <v>383</v>
      </c>
      <c r="B115" s="6" t="s">
        <v>365</v>
      </c>
      <c r="C115" s="5"/>
      <c r="D115" s="7" t="s">
        <v>384</v>
      </c>
      <c r="E115" s="7" t="s">
        <v>385</v>
      </c>
      <c r="F115" s="5" t="s">
        <v>31</v>
      </c>
      <c r="G115" s="7"/>
      <c r="H115" s="5"/>
    </row>
    <row r="116" spans="1:8" x14ac:dyDescent="0.15">
      <c r="A116" s="5" t="s">
        <v>386</v>
      </c>
      <c r="B116" s="6" t="s">
        <v>365</v>
      </c>
      <c r="C116" s="5"/>
      <c r="D116" s="7" t="s">
        <v>387</v>
      </c>
      <c r="E116" s="7" t="s">
        <v>388</v>
      </c>
      <c r="F116" s="5" t="s">
        <v>31</v>
      </c>
      <c r="G116" s="7"/>
      <c r="H116" s="5"/>
    </row>
    <row r="117" spans="1:8" x14ac:dyDescent="0.15">
      <c r="A117" s="5" t="s">
        <v>389</v>
      </c>
      <c r="B117" s="6" t="s">
        <v>365</v>
      </c>
      <c r="C117" s="5"/>
      <c r="D117" s="7" t="s">
        <v>390</v>
      </c>
      <c r="E117" s="7" t="s">
        <v>391</v>
      </c>
      <c r="F117" s="5" t="s">
        <v>31</v>
      </c>
      <c r="G117" s="7"/>
      <c r="H117" s="5"/>
    </row>
    <row r="118" spans="1:8" x14ac:dyDescent="0.15">
      <c r="A118" s="5" t="s">
        <v>392</v>
      </c>
      <c r="B118" s="6" t="s">
        <v>365</v>
      </c>
      <c r="C118" s="5"/>
      <c r="D118" s="7" t="s">
        <v>393</v>
      </c>
      <c r="E118" s="7" t="s">
        <v>394</v>
      </c>
      <c r="F118" s="5" t="s">
        <v>31</v>
      </c>
      <c r="G118" s="7"/>
      <c r="H118" s="5"/>
    </row>
    <row r="119" spans="1:8" x14ac:dyDescent="0.15">
      <c r="A119" s="5" t="s">
        <v>395</v>
      </c>
      <c r="B119" s="6" t="s">
        <v>365</v>
      </c>
      <c r="C119" s="5"/>
      <c r="D119" s="7" t="s">
        <v>396</v>
      </c>
      <c r="E119" s="7" t="s">
        <v>397</v>
      </c>
      <c r="F119" s="5" t="s">
        <v>31</v>
      </c>
      <c r="G119" s="7"/>
      <c r="H119" s="5"/>
    </row>
    <row r="120" spans="1:8" x14ac:dyDescent="0.15">
      <c r="A120" s="5" t="s">
        <v>398</v>
      </c>
      <c r="B120" s="6" t="s">
        <v>365</v>
      </c>
      <c r="C120" s="5"/>
      <c r="D120" s="7" t="s">
        <v>399</v>
      </c>
      <c r="E120" s="7" t="s">
        <v>400</v>
      </c>
      <c r="F120" s="5" t="s">
        <v>31</v>
      </c>
      <c r="G120" s="7"/>
      <c r="H120" s="5"/>
    </row>
    <row r="121" spans="1:8" x14ac:dyDescent="0.15">
      <c r="A121" s="5" t="s">
        <v>401</v>
      </c>
      <c r="B121" s="6" t="s">
        <v>402</v>
      </c>
      <c r="C121" s="5"/>
      <c r="D121" s="7" t="s">
        <v>403</v>
      </c>
      <c r="E121" s="7" t="s">
        <v>404</v>
      </c>
      <c r="F121" s="5" t="s">
        <v>31</v>
      </c>
      <c r="G121" s="7"/>
      <c r="H121" s="5"/>
    </row>
    <row r="122" spans="1:8" x14ac:dyDescent="0.15">
      <c r="A122" s="8" t="s">
        <v>405</v>
      </c>
      <c r="B122" s="9" t="s">
        <v>402</v>
      </c>
      <c r="C122" s="10" t="s">
        <v>21</v>
      </c>
      <c r="D122" s="11" t="s">
        <v>406</v>
      </c>
      <c r="E122" s="11" t="s">
        <v>407</v>
      </c>
      <c r="F122" s="8" t="s">
        <v>31</v>
      </c>
      <c r="G122" s="11"/>
      <c r="H122" s="8"/>
    </row>
    <row r="123" spans="1:8" x14ac:dyDescent="0.15">
      <c r="A123" s="8" t="s">
        <v>408</v>
      </c>
      <c r="B123" s="9" t="s">
        <v>402</v>
      </c>
      <c r="C123" s="10" t="s">
        <v>21</v>
      </c>
      <c r="D123" s="11" t="s">
        <v>409</v>
      </c>
      <c r="E123" s="11" t="s">
        <v>410</v>
      </c>
      <c r="F123" s="8" t="s">
        <v>31</v>
      </c>
      <c r="G123" s="11"/>
      <c r="H123" s="8"/>
    </row>
    <row r="124" spans="1:8" x14ac:dyDescent="0.15">
      <c r="A124" s="5" t="s">
        <v>411</v>
      </c>
      <c r="B124" s="6" t="s">
        <v>402</v>
      </c>
      <c r="C124" s="5"/>
      <c r="D124" s="7" t="s">
        <v>412</v>
      </c>
      <c r="E124" s="7" t="s">
        <v>413</v>
      </c>
      <c r="F124" s="5" t="s">
        <v>31</v>
      </c>
      <c r="G124" s="7"/>
      <c r="H124" s="5"/>
    </row>
    <row r="125" spans="1:8" x14ac:dyDescent="0.15">
      <c r="A125" s="8" t="s">
        <v>414</v>
      </c>
      <c r="B125" s="9" t="s">
        <v>415</v>
      </c>
      <c r="C125" s="10" t="s">
        <v>21</v>
      </c>
      <c r="D125" s="11" t="s">
        <v>416</v>
      </c>
      <c r="E125" s="11" t="s">
        <v>417</v>
      </c>
      <c r="F125" s="8" t="s">
        <v>31</v>
      </c>
      <c r="G125" s="11"/>
      <c r="H125" s="8"/>
    </row>
    <row r="126" spans="1:8" x14ac:dyDescent="0.15">
      <c r="A126" s="8" t="s">
        <v>418</v>
      </c>
      <c r="B126" s="9" t="s">
        <v>415</v>
      </c>
      <c r="C126" s="10" t="s">
        <v>21</v>
      </c>
      <c r="D126" s="11" t="s">
        <v>419</v>
      </c>
      <c r="E126" s="11" t="s">
        <v>420</v>
      </c>
      <c r="F126" s="8" t="s">
        <v>31</v>
      </c>
      <c r="G126" s="11"/>
      <c r="H126" s="8"/>
    </row>
    <row r="127" spans="1:8" x14ac:dyDescent="0.15">
      <c r="A127" s="5" t="s">
        <v>421</v>
      </c>
      <c r="B127" s="6" t="s">
        <v>415</v>
      </c>
      <c r="C127" s="5"/>
      <c r="D127" s="7" t="s">
        <v>422</v>
      </c>
      <c r="E127" s="7" t="s">
        <v>423</v>
      </c>
      <c r="F127" s="5" t="s">
        <v>31</v>
      </c>
      <c r="G127" s="7"/>
      <c r="H127" s="5"/>
    </row>
    <row r="128" spans="1:8" x14ac:dyDescent="0.15">
      <c r="A128" s="8" t="s">
        <v>424</v>
      </c>
      <c r="B128" s="9" t="s">
        <v>415</v>
      </c>
      <c r="C128" s="10" t="s">
        <v>21</v>
      </c>
      <c r="D128" s="11" t="s">
        <v>425</v>
      </c>
      <c r="E128" s="11" t="s">
        <v>426</v>
      </c>
      <c r="F128" s="8" t="s">
        <v>31</v>
      </c>
      <c r="G128" s="11"/>
      <c r="H128" s="8"/>
    </row>
    <row r="129" spans="1:8" x14ac:dyDescent="0.15">
      <c r="A129" s="8" t="s">
        <v>427</v>
      </c>
      <c r="B129" s="9" t="s">
        <v>415</v>
      </c>
      <c r="C129" s="10" t="s">
        <v>21</v>
      </c>
      <c r="D129" s="11" t="s">
        <v>428</v>
      </c>
      <c r="E129" s="11" t="s">
        <v>429</v>
      </c>
      <c r="F129" s="8" t="s">
        <v>31</v>
      </c>
      <c r="G129" s="11"/>
      <c r="H129" s="8"/>
    </row>
    <row r="130" spans="1:8" x14ac:dyDescent="0.15">
      <c r="A130" s="8" t="s">
        <v>430</v>
      </c>
      <c r="B130" s="9" t="s">
        <v>415</v>
      </c>
      <c r="C130" s="10" t="s">
        <v>21</v>
      </c>
      <c r="D130" s="11" t="s">
        <v>431</v>
      </c>
      <c r="E130" s="11" t="s">
        <v>432</v>
      </c>
      <c r="F130" s="8" t="s">
        <v>31</v>
      </c>
      <c r="G130" s="11"/>
      <c r="H130" s="8"/>
    </row>
    <row r="131" spans="1:8" x14ac:dyDescent="0.15">
      <c r="A131" s="8" t="s">
        <v>433</v>
      </c>
      <c r="B131" s="9" t="s">
        <v>415</v>
      </c>
      <c r="C131" s="10" t="s">
        <v>21</v>
      </c>
      <c r="D131" s="11" t="s">
        <v>434</v>
      </c>
      <c r="E131" s="11" t="s">
        <v>435</v>
      </c>
      <c r="F131" s="8" t="s">
        <v>31</v>
      </c>
      <c r="G131" s="11"/>
      <c r="H131" s="8"/>
    </row>
    <row r="132" spans="1:8" x14ac:dyDescent="0.15">
      <c r="A132" s="8" t="s">
        <v>436</v>
      </c>
      <c r="B132" s="9" t="s">
        <v>415</v>
      </c>
      <c r="C132" s="10" t="s">
        <v>21</v>
      </c>
      <c r="D132" s="11" t="s">
        <v>437</v>
      </c>
      <c r="E132" s="11" t="s">
        <v>438</v>
      </c>
      <c r="F132" s="8" t="s">
        <v>31</v>
      </c>
      <c r="G132" s="11"/>
      <c r="H132" s="8"/>
    </row>
    <row r="133" spans="1:8" x14ac:dyDescent="0.15">
      <c r="A133" s="8" t="s">
        <v>439</v>
      </c>
      <c r="B133" s="9" t="s">
        <v>415</v>
      </c>
      <c r="C133" s="10" t="s">
        <v>21</v>
      </c>
      <c r="D133" s="11" t="s">
        <v>440</v>
      </c>
      <c r="E133" s="11" t="s">
        <v>441</v>
      </c>
      <c r="F133" s="8" t="s">
        <v>31</v>
      </c>
      <c r="G133" s="11"/>
      <c r="H133" s="8"/>
    </row>
    <row r="134" spans="1:8" x14ac:dyDescent="0.15">
      <c r="A134" s="8" t="s">
        <v>442</v>
      </c>
      <c r="B134" s="9" t="s">
        <v>415</v>
      </c>
      <c r="C134" s="10" t="s">
        <v>21</v>
      </c>
      <c r="D134" s="11" t="s">
        <v>443</v>
      </c>
      <c r="E134" s="11" t="s">
        <v>444</v>
      </c>
      <c r="F134" s="8" t="s">
        <v>31</v>
      </c>
      <c r="G134" s="11"/>
      <c r="H134" s="8"/>
    </row>
    <row r="135" spans="1:8" x14ac:dyDescent="0.15">
      <c r="A135" s="8" t="s">
        <v>445</v>
      </c>
      <c r="B135" s="9" t="s">
        <v>446</v>
      </c>
      <c r="C135" s="10" t="s">
        <v>21</v>
      </c>
      <c r="D135" s="11" t="s">
        <v>447</v>
      </c>
      <c r="E135" s="11" t="s">
        <v>448</v>
      </c>
      <c r="F135" s="8" t="s">
        <v>31</v>
      </c>
      <c r="G135" s="11"/>
      <c r="H135" s="8"/>
    </row>
    <row r="136" spans="1:8" x14ac:dyDescent="0.15">
      <c r="A136" s="8" t="s">
        <v>449</v>
      </c>
      <c r="B136" s="9" t="s">
        <v>446</v>
      </c>
      <c r="C136" s="10" t="s">
        <v>21</v>
      </c>
      <c r="D136" s="11" t="s">
        <v>450</v>
      </c>
      <c r="E136" s="11" t="s">
        <v>451</v>
      </c>
      <c r="F136" s="8" t="s">
        <v>31</v>
      </c>
      <c r="G136" s="11"/>
      <c r="H136" s="8"/>
    </row>
    <row r="137" spans="1:8" x14ac:dyDescent="0.15">
      <c r="A137" s="8" t="s">
        <v>452</v>
      </c>
      <c r="B137" s="9" t="s">
        <v>446</v>
      </c>
      <c r="C137" s="10" t="s">
        <v>21</v>
      </c>
      <c r="D137" s="11" t="s">
        <v>453</v>
      </c>
      <c r="E137" s="11" t="s">
        <v>454</v>
      </c>
      <c r="F137" s="8" t="s">
        <v>31</v>
      </c>
      <c r="G137" s="11"/>
      <c r="H137" s="8"/>
    </row>
    <row r="138" spans="1:8" x14ac:dyDescent="0.15">
      <c r="A138" s="8" t="s">
        <v>455</v>
      </c>
      <c r="B138" s="9" t="s">
        <v>446</v>
      </c>
      <c r="C138" s="10" t="s">
        <v>21</v>
      </c>
      <c r="D138" s="11" t="s">
        <v>456</v>
      </c>
      <c r="E138" s="11" t="s">
        <v>457</v>
      </c>
      <c r="F138" s="8" t="s">
        <v>31</v>
      </c>
      <c r="G138" s="11"/>
      <c r="H138" s="8"/>
    </row>
    <row r="139" spans="1:8" x14ac:dyDescent="0.15">
      <c r="A139" s="8" t="s">
        <v>458</v>
      </c>
      <c r="B139" s="9" t="s">
        <v>446</v>
      </c>
      <c r="C139" s="10" t="s">
        <v>21</v>
      </c>
      <c r="D139" s="11" t="s">
        <v>459</v>
      </c>
      <c r="E139" s="11" t="s">
        <v>460</v>
      </c>
      <c r="F139" s="8" t="s">
        <v>31</v>
      </c>
      <c r="G139" s="11"/>
      <c r="H139" s="8"/>
    </row>
    <row r="140" spans="1:8" x14ac:dyDescent="0.15">
      <c r="A140" s="8" t="s">
        <v>461</v>
      </c>
      <c r="B140" s="9" t="s">
        <v>446</v>
      </c>
      <c r="C140" s="10" t="s">
        <v>21</v>
      </c>
      <c r="D140" s="11" t="s">
        <v>462</v>
      </c>
      <c r="E140" s="11" t="s">
        <v>463</v>
      </c>
      <c r="F140" s="8" t="s">
        <v>31</v>
      </c>
      <c r="G140" s="11"/>
      <c r="H140" s="8"/>
    </row>
    <row r="141" spans="1:8" x14ac:dyDescent="0.15">
      <c r="A141" s="8" t="s">
        <v>464</v>
      </c>
      <c r="B141" s="9" t="s">
        <v>446</v>
      </c>
      <c r="C141" s="10" t="s">
        <v>21</v>
      </c>
      <c r="D141" s="11" t="s">
        <v>465</v>
      </c>
      <c r="E141" s="11" t="s">
        <v>466</v>
      </c>
      <c r="F141" s="8" t="s">
        <v>31</v>
      </c>
      <c r="G141" s="11"/>
      <c r="H141" s="8"/>
    </row>
    <row r="142" spans="1:8" x14ac:dyDescent="0.15">
      <c r="A142" s="8" t="s">
        <v>467</v>
      </c>
      <c r="B142" s="9" t="s">
        <v>446</v>
      </c>
      <c r="C142" s="10" t="s">
        <v>21</v>
      </c>
      <c r="D142" s="11" t="s">
        <v>468</v>
      </c>
      <c r="E142" s="11" t="s">
        <v>469</v>
      </c>
      <c r="F142" s="8" t="s">
        <v>31</v>
      </c>
      <c r="G142" s="11"/>
      <c r="H142" s="8"/>
    </row>
    <row r="143" spans="1:8" x14ac:dyDescent="0.15">
      <c r="A143" s="8" t="s">
        <v>470</v>
      </c>
      <c r="B143" s="9" t="s">
        <v>446</v>
      </c>
      <c r="C143" s="10" t="s">
        <v>21</v>
      </c>
      <c r="D143" s="11" t="s">
        <v>471</v>
      </c>
      <c r="E143" s="11" t="s">
        <v>472</v>
      </c>
      <c r="F143" s="8" t="s">
        <v>31</v>
      </c>
      <c r="G143" s="11"/>
      <c r="H143" s="8"/>
    </row>
    <row r="144" spans="1:8" x14ac:dyDescent="0.15">
      <c r="A144" s="8" t="s">
        <v>473</v>
      </c>
      <c r="B144" s="9" t="s">
        <v>446</v>
      </c>
      <c r="C144" s="10" t="s">
        <v>21</v>
      </c>
      <c r="D144" s="11" t="s">
        <v>474</v>
      </c>
      <c r="E144" s="11" t="s">
        <v>475</v>
      </c>
      <c r="F144" s="8" t="s">
        <v>31</v>
      </c>
      <c r="G144" s="11"/>
      <c r="H144" s="8"/>
    </row>
  </sheetData>
  <autoFilter ref="A1:H144" xr:uid="{00000000-0009-0000-0000-000001000000}"/>
  <phoneticPr fontId="10" type="noConversion"/>
  <conditionalFormatting sqref="F2:F144">
    <cfRule type="cellIs" dxfId="2" priority="1" operator="equal">
      <formula>"通过"</formula>
    </cfRule>
    <cfRule type="cellIs" dxfId="1" priority="2" operator="equal">
      <formula>"不通过"</formula>
    </cfRule>
    <cfRule type="cellIs" dxfId="0" priority="3" operator="equal">
      <formula>"阻塞"</formula>
    </cfRule>
  </conditionalFormatting>
  <dataValidations count="1">
    <dataValidation type="list" allowBlank="1" error="请从下拉列表中选择" sqref="F2:F144" xr:uid="{00000000-0002-0000-0100-000000000000}">
      <formula1>"未测试,通过,不通过,阻塞,不适用"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9"/>
  <sheetViews>
    <sheetView workbookViewId="0"/>
  </sheetViews>
  <sheetFormatPr defaultRowHeight="13.5" x14ac:dyDescent="0.15"/>
  <cols>
    <col min="1" max="1" width="22" customWidth="1"/>
    <col min="2" max="5" width="13" customWidth="1"/>
  </cols>
  <sheetData>
    <row r="1" spans="1:2" ht="18" x14ac:dyDescent="0.25">
      <c r="A1" s="1" t="s">
        <v>476</v>
      </c>
    </row>
    <row r="2" spans="1:2" ht="14.25" x14ac:dyDescent="0.2">
      <c r="A2" s="12" t="s">
        <v>477</v>
      </c>
    </row>
    <row r="4" spans="1:2" ht="14.25" x14ac:dyDescent="0.2">
      <c r="A4" s="13" t="s">
        <v>478</v>
      </c>
      <c r="B4" s="14">
        <f>COUNTA(测试用例!A2:A144)</f>
        <v>143</v>
      </c>
    </row>
    <row r="5" spans="1:2" ht="14.25" x14ac:dyDescent="0.2">
      <c r="A5" s="3" t="s">
        <v>479</v>
      </c>
      <c r="B5" s="15">
        <f>COUNTIF(测试用例!F2:F144,"通过")</f>
        <v>0</v>
      </c>
    </row>
    <row r="6" spans="1:2" ht="14.25" x14ac:dyDescent="0.2">
      <c r="A6" s="3" t="s">
        <v>480</v>
      </c>
      <c r="B6" s="15">
        <f>COUNTIF(测试用例!F2:F144,"不通过")</f>
        <v>0</v>
      </c>
    </row>
    <row r="7" spans="1:2" ht="14.25" x14ac:dyDescent="0.2">
      <c r="A7" s="3" t="s">
        <v>481</v>
      </c>
      <c r="B7" s="15">
        <f>COUNTIF(测试用例!F2:F144,"阻塞")</f>
        <v>0</v>
      </c>
    </row>
    <row r="8" spans="1:2" ht="14.25" x14ac:dyDescent="0.2">
      <c r="A8" s="3" t="s">
        <v>482</v>
      </c>
      <c r="B8" s="15">
        <f>COUNTIF(测试用例!F2:F144,"不适用")</f>
        <v>0</v>
      </c>
    </row>
    <row r="9" spans="1:2" ht="14.25" x14ac:dyDescent="0.2">
      <c r="A9" s="3" t="s">
        <v>31</v>
      </c>
      <c r="B9" s="15">
        <f>COUNTIF(测试用例!F2:F144,"未测试")</f>
        <v>143</v>
      </c>
    </row>
    <row r="10" spans="1:2" ht="14.25" x14ac:dyDescent="0.2">
      <c r="A10" s="3" t="s">
        <v>483</v>
      </c>
      <c r="B10" s="16">
        <f>IF(B4=0,0,(B4-B9)/B4)</f>
        <v>0</v>
      </c>
    </row>
    <row r="12" spans="1:2" ht="14.25" x14ac:dyDescent="0.2">
      <c r="A12" s="13" t="s">
        <v>484</v>
      </c>
      <c r="B12" s="14">
        <f>COUNTIF(测试用例!C2:C144,"红线")</f>
        <v>45</v>
      </c>
    </row>
    <row r="13" spans="1:2" ht="14.25" x14ac:dyDescent="0.2">
      <c r="A13" s="3" t="s">
        <v>485</v>
      </c>
      <c r="B13" s="15">
        <f>COUNTIFS(测试用例!C2:C144,"红线",测试用例!F2:F144,"通过")</f>
        <v>0</v>
      </c>
    </row>
    <row r="14" spans="1:2" ht="14.25" x14ac:dyDescent="0.2">
      <c r="A14" s="3" t="s">
        <v>486</v>
      </c>
      <c r="B14" s="15">
        <f>COUNTIFS(测试用例!C2:C144,"红线",测试用例!F2:F144,"不通过")</f>
        <v>0</v>
      </c>
    </row>
    <row r="15" spans="1:2" ht="14.25" x14ac:dyDescent="0.2">
      <c r="A15" s="3" t="s">
        <v>487</v>
      </c>
      <c r="B15" s="15">
        <f>COUNTIFS(测试用例!C2:C144,"红线",测试用例!F2:F144,"未测试")</f>
        <v>45</v>
      </c>
    </row>
    <row r="17" spans="1:5" ht="14.25" x14ac:dyDescent="0.2">
      <c r="A17" s="13" t="s">
        <v>488</v>
      </c>
      <c r="B17" s="13" t="str">
        <f>IF(B14&gt;0,"禁止放行:有红线用例不通过",IF(B15&gt;0,"尚未测完红线用例",IF(B6&gt;0,"有普通用例不通过,可评估后放行","红线全部通过")))</f>
        <v>尚未测完红线用例</v>
      </c>
    </row>
    <row r="19" spans="1:5" ht="15" x14ac:dyDescent="0.25">
      <c r="A19" s="17" t="s">
        <v>489</v>
      </c>
    </row>
    <row r="20" spans="1:5" ht="14.25" x14ac:dyDescent="0.2">
      <c r="A20" s="18" t="s">
        <v>20</v>
      </c>
      <c r="B20" s="18" t="s">
        <v>490</v>
      </c>
      <c r="C20" s="18" t="s">
        <v>491</v>
      </c>
      <c r="D20" s="18" t="s">
        <v>480</v>
      </c>
      <c r="E20" s="18" t="s">
        <v>31</v>
      </c>
    </row>
    <row r="21" spans="1:5" ht="14.25" x14ac:dyDescent="0.2">
      <c r="A21" s="19" t="s">
        <v>28</v>
      </c>
      <c r="B21" s="20">
        <f>COUNTIF(测试用例!B2:B144,A21)</f>
        <v>4</v>
      </c>
      <c r="C21" s="20">
        <f>COUNTIFS(测试用例!B2:B144,A21,测试用例!F2:F144,"通过")</f>
        <v>0</v>
      </c>
      <c r="D21" s="20">
        <f>COUNTIFS(测试用例!B2:B144,A21,测试用例!F2:F144,"不通过")</f>
        <v>0</v>
      </c>
      <c r="E21" s="20">
        <f>COUNTIFS(测试用例!B2:B144,A21,测试用例!F2:F144,"未测试")</f>
        <v>4</v>
      </c>
    </row>
    <row r="22" spans="1:5" ht="14.25" x14ac:dyDescent="0.2">
      <c r="A22" s="19" t="s">
        <v>42</v>
      </c>
      <c r="B22" s="20">
        <f>COUNTIF(测试用例!B2:B144,A22)</f>
        <v>8</v>
      </c>
      <c r="C22" s="20">
        <f>COUNTIFS(测试用例!B2:B144,A22,测试用例!F2:F144,"通过")</f>
        <v>0</v>
      </c>
      <c r="D22" s="20">
        <f>COUNTIFS(测试用例!B2:B144,A22,测试用例!F2:F144,"不通过")</f>
        <v>0</v>
      </c>
      <c r="E22" s="20">
        <f>COUNTIFS(测试用例!B2:B144,A22,测试用例!F2:F144,"未测试")</f>
        <v>8</v>
      </c>
    </row>
    <row r="23" spans="1:5" ht="14.25" x14ac:dyDescent="0.2">
      <c r="A23" s="19" t="s">
        <v>67</v>
      </c>
      <c r="B23" s="20">
        <f>COUNTIF(测试用例!B2:B144,A23)</f>
        <v>18</v>
      </c>
      <c r="C23" s="20">
        <f>COUNTIFS(测试用例!B2:B144,A23,测试用例!F2:F144,"通过")</f>
        <v>0</v>
      </c>
      <c r="D23" s="20">
        <f>COUNTIFS(测试用例!B2:B144,A23,测试用例!F2:F144,"不通过")</f>
        <v>0</v>
      </c>
      <c r="E23" s="20">
        <f>COUNTIFS(测试用例!B2:B144,A23,测试用例!F2:F144,"未测试")</f>
        <v>18</v>
      </c>
    </row>
    <row r="24" spans="1:5" ht="14.25" x14ac:dyDescent="0.2">
      <c r="A24" s="19" t="s">
        <v>122</v>
      </c>
      <c r="B24" s="20">
        <f>COUNTIF(测试用例!B2:B144,A24)</f>
        <v>16</v>
      </c>
      <c r="C24" s="20">
        <f>COUNTIFS(测试用例!B2:B144,A24,测试用例!F2:F144,"通过")</f>
        <v>0</v>
      </c>
      <c r="D24" s="20">
        <f>COUNTIFS(测试用例!B2:B144,A24,测试用例!F2:F144,"不通过")</f>
        <v>0</v>
      </c>
      <c r="E24" s="20">
        <f>COUNTIFS(测试用例!B2:B144,A24,测试用例!F2:F144,"未测试")</f>
        <v>16</v>
      </c>
    </row>
    <row r="25" spans="1:5" ht="14.25" x14ac:dyDescent="0.2">
      <c r="A25" s="19" t="s">
        <v>171</v>
      </c>
      <c r="B25" s="20">
        <f>COUNTIF(测试用例!B2:B144,A25)</f>
        <v>6</v>
      </c>
      <c r="C25" s="20">
        <f>COUNTIFS(测试用例!B2:B144,A25,测试用例!F2:F144,"通过")</f>
        <v>0</v>
      </c>
      <c r="D25" s="20">
        <f>COUNTIFS(测试用例!B2:B144,A25,测试用例!F2:F144,"不通过")</f>
        <v>0</v>
      </c>
      <c r="E25" s="20">
        <f>COUNTIFS(测试用例!B2:B144,A25,测试用例!F2:F144,"未测试")</f>
        <v>6</v>
      </c>
    </row>
    <row r="26" spans="1:5" ht="14.25" x14ac:dyDescent="0.2">
      <c r="A26" s="19" t="s">
        <v>190</v>
      </c>
      <c r="B26" s="20">
        <f>COUNTIF(测试用例!B2:B144,A26)</f>
        <v>4</v>
      </c>
      <c r="C26" s="20">
        <f>COUNTIFS(测试用例!B2:B144,A26,测试用例!F2:F144,"通过")</f>
        <v>0</v>
      </c>
      <c r="D26" s="20">
        <f>COUNTIFS(测试用例!B2:B144,A26,测试用例!F2:F144,"不通过")</f>
        <v>0</v>
      </c>
      <c r="E26" s="20">
        <f>COUNTIFS(测试用例!B2:B144,A26,测试用例!F2:F144,"未测试")</f>
        <v>4</v>
      </c>
    </row>
    <row r="27" spans="1:5" ht="14.25" x14ac:dyDescent="0.2">
      <c r="A27" s="19" t="s">
        <v>203</v>
      </c>
      <c r="B27" s="20">
        <f>COUNTIF(测试用例!B2:B144,A27)</f>
        <v>9</v>
      </c>
      <c r="C27" s="20">
        <f>COUNTIFS(测试用例!B2:B144,A27,测试用例!F2:F144,"通过")</f>
        <v>0</v>
      </c>
      <c r="D27" s="20">
        <f>COUNTIFS(测试用例!B2:B144,A27,测试用例!F2:F144,"不通过")</f>
        <v>0</v>
      </c>
      <c r="E27" s="20">
        <f>COUNTIFS(测试用例!B2:B144,A27,测试用例!F2:F144,"未测试")</f>
        <v>9</v>
      </c>
    </row>
    <row r="28" spans="1:5" ht="14.25" x14ac:dyDescent="0.2">
      <c r="A28" s="19" t="s">
        <v>231</v>
      </c>
      <c r="B28" s="20">
        <f>COUNTIF(测试用例!B2:B144,A28)</f>
        <v>5</v>
      </c>
      <c r="C28" s="20">
        <f>COUNTIFS(测试用例!B2:B144,A28,测试用例!F2:F144,"通过")</f>
        <v>0</v>
      </c>
      <c r="D28" s="20">
        <f>COUNTIFS(测试用例!B2:B144,A28,测试用例!F2:F144,"不通过")</f>
        <v>0</v>
      </c>
      <c r="E28" s="20">
        <f>COUNTIFS(测试用例!B2:B144,A28,测试用例!F2:F144,"未测试")</f>
        <v>5</v>
      </c>
    </row>
    <row r="29" spans="1:5" ht="14.25" x14ac:dyDescent="0.2">
      <c r="A29" s="19" t="s">
        <v>247</v>
      </c>
      <c r="B29" s="20">
        <f>COUNTIF(测试用例!B2:B144,A29)</f>
        <v>7</v>
      </c>
      <c r="C29" s="20">
        <f>COUNTIFS(测试用例!B2:B144,A29,测试用例!F2:F144,"通过")</f>
        <v>0</v>
      </c>
      <c r="D29" s="20">
        <f>COUNTIFS(测试用例!B2:B144,A29,测试用例!F2:F144,"不通过")</f>
        <v>0</v>
      </c>
      <c r="E29" s="20">
        <f>COUNTIFS(测试用例!B2:B144,A29,测试用例!F2:F144,"未测试")</f>
        <v>7</v>
      </c>
    </row>
    <row r="30" spans="1:5" ht="14.25" x14ac:dyDescent="0.2">
      <c r="A30" s="19" t="s">
        <v>269</v>
      </c>
      <c r="B30" s="20">
        <f>COUNTIF(测试用例!B2:B144,A30)</f>
        <v>6</v>
      </c>
      <c r="C30" s="20">
        <f>COUNTIFS(测试用例!B2:B144,A30,测试用例!F2:F144,"通过")</f>
        <v>0</v>
      </c>
      <c r="D30" s="20">
        <f>COUNTIFS(测试用例!B2:B144,A30,测试用例!F2:F144,"不通过")</f>
        <v>0</v>
      </c>
      <c r="E30" s="20">
        <f>COUNTIFS(测试用例!B2:B144,A30,测试用例!F2:F144,"未测试")</f>
        <v>6</v>
      </c>
    </row>
    <row r="31" spans="1:5" ht="14.25" x14ac:dyDescent="0.2">
      <c r="A31" s="19" t="s">
        <v>288</v>
      </c>
      <c r="B31" s="20">
        <f>COUNTIF(测试用例!B2:B144,A31)</f>
        <v>2</v>
      </c>
      <c r="C31" s="20">
        <f>COUNTIFS(测试用例!B2:B144,A31,测试用例!F2:F144,"通过")</f>
        <v>0</v>
      </c>
      <c r="D31" s="20">
        <f>COUNTIFS(测试用例!B2:B144,A31,测试用例!F2:F144,"不通过")</f>
        <v>0</v>
      </c>
      <c r="E31" s="20">
        <f>COUNTIFS(测试用例!B2:B144,A31,测试用例!F2:F144,"未测试")</f>
        <v>2</v>
      </c>
    </row>
    <row r="32" spans="1:5" ht="14.25" x14ac:dyDescent="0.2">
      <c r="A32" s="19" t="s">
        <v>295</v>
      </c>
      <c r="B32" s="20">
        <f>COUNTIF(测试用例!B2:B144,A32)</f>
        <v>4</v>
      </c>
      <c r="C32" s="20">
        <f>COUNTIFS(测试用例!B2:B144,A32,测试用例!F2:F144,"通过")</f>
        <v>0</v>
      </c>
      <c r="D32" s="20">
        <f>COUNTIFS(测试用例!B2:B144,A32,测试用例!F2:F144,"不通过")</f>
        <v>0</v>
      </c>
      <c r="E32" s="20">
        <f>COUNTIFS(测试用例!B2:B144,A32,测试用例!F2:F144,"未测试")</f>
        <v>4</v>
      </c>
    </row>
    <row r="33" spans="1:5" ht="14.25" x14ac:dyDescent="0.2">
      <c r="A33" s="19" t="s">
        <v>308</v>
      </c>
      <c r="B33" s="20">
        <f>COUNTIF(测试用例!B2:B144,A33)</f>
        <v>4</v>
      </c>
      <c r="C33" s="20">
        <f>COUNTIFS(测试用例!B2:B144,A33,测试用例!F2:F144,"通过")</f>
        <v>0</v>
      </c>
      <c r="D33" s="20">
        <f>COUNTIFS(测试用例!B2:B144,A33,测试用例!F2:F144,"不通过")</f>
        <v>0</v>
      </c>
      <c r="E33" s="20">
        <f>COUNTIFS(测试用例!B2:B144,A33,测试用例!F2:F144,"未测试")</f>
        <v>4</v>
      </c>
    </row>
    <row r="34" spans="1:5" ht="14.25" x14ac:dyDescent="0.2">
      <c r="A34" s="19" t="s">
        <v>321</v>
      </c>
      <c r="B34" s="20">
        <f>COUNTIF(测试用例!B2:B144,A34)</f>
        <v>4</v>
      </c>
      <c r="C34" s="20">
        <f>COUNTIFS(测试用例!B2:B144,A34,测试用例!F2:F144,"通过")</f>
        <v>0</v>
      </c>
      <c r="D34" s="20">
        <f>COUNTIFS(测试用例!B2:B144,A34,测试用例!F2:F144,"不通过")</f>
        <v>0</v>
      </c>
      <c r="E34" s="20">
        <f>COUNTIFS(测试用例!B2:B144,A34,测试用例!F2:F144,"未测试")</f>
        <v>4</v>
      </c>
    </row>
    <row r="35" spans="1:5" ht="14.25" x14ac:dyDescent="0.2">
      <c r="A35" s="19" t="s">
        <v>334</v>
      </c>
      <c r="B35" s="20">
        <f>COUNTIF(测试用例!B2:B144,A35)</f>
        <v>10</v>
      </c>
      <c r="C35" s="20">
        <f>COUNTIFS(测试用例!B2:B144,A35,测试用例!F2:F144,"通过")</f>
        <v>0</v>
      </c>
      <c r="D35" s="20">
        <f>COUNTIFS(测试用例!B2:B144,A35,测试用例!F2:F144,"不通过")</f>
        <v>0</v>
      </c>
      <c r="E35" s="20">
        <f>COUNTIFS(测试用例!B2:B144,A35,测试用例!F2:F144,"未测试")</f>
        <v>10</v>
      </c>
    </row>
    <row r="36" spans="1:5" ht="14.25" x14ac:dyDescent="0.2">
      <c r="A36" s="19" t="s">
        <v>365</v>
      </c>
      <c r="B36" s="20">
        <f>COUNTIF(测试用例!B2:B144,A36)</f>
        <v>12</v>
      </c>
      <c r="C36" s="20">
        <f>COUNTIFS(测试用例!B2:B144,A36,测试用例!F2:F144,"通过")</f>
        <v>0</v>
      </c>
      <c r="D36" s="20">
        <f>COUNTIFS(测试用例!B2:B144,A36,测试用例!F2:F144,"不通过")</f>
        <v>0</v>
      </c>
      <c r="E36" s="20">
        <f>COUNTIFS(测试用例!B2:B144,A36,测试用例!F2:F144,"未测试")</f>
        <v>12</v>
      </c>
    </row>
    <row r="37" spans="1:5" ht="14.25" x14ac:dyDescent="0.2">
      <c r="A37" s="19" t="s">
        <v>402</v>
      </c>
      <c r="B37" s="20">
        <f>COUNTIF(测试用例!B2:B144,A37)</f>
        <v>4</v>
      </c>
      <c r="C37" s="20">
        <f>COUNTIFS(测试用例!B2:B144,A37,测试用例!F2:F144,"通过")</f>
        <v>0</v>
      </c>
      <c r="D37" s="20">
        <f>COUNTIFS(测试用例!B2:B144,A37,测试用例!F2:F144,"不通过")</f>
        <v>0</v>
      </c>
      <c r="E37" s="20">
        <f>COUNTIFS(测试用例!B2:B144,A37,测试用例!F2:F144,"未测试")</f>
        <v>4</v>
      </c>
    </row>
    <row r="38" spans="1:5" ht="14.25" x14ac:dyDescent="0.2">
      <c r="A38" s="19" t="s">
        <v>415</v>
      </c>
      <c r="B38" s="20">
        <f>COUNTIF(测试用例!B2:B144,A38)</f>
        <v>10</v>
      </c>
      <c r="C38" s="20">
        <f>COUNTIFS(测试用例!B2:B144,A38,测试用例!F2:F144,"通过")</f>
        <v>0</v>
      </c>
      <c r="D38" s="20">
        <f>COUNTIFS(测试用例!B2:B144,A38,测试用例!F2:F144,"不通过")</f>
        <v>0</v>
      </c>
      <c r="E38" s="20">
        <f>COUNTIFS(测试用例!B2:B144,A38,测试用例!F2:F144,"未测试")</f>
        <v>10</v>
      </c>
    </row>
    <row r="39" spans="1:5" ht="14.25" x14ac:dyDescent="0.2">
      <c r="A39" s="19" t="s">
        <v>446</v>
      </c>
      <c r="B39" s="20">
        <f>COUNTIF(测试用例!B2:B144,A39)</f>
        <v>10</v>
      </c>
      <c r="C39" s="20">
        <f>COUNTIFS(测试用例!B2:B144,A39,测试用例!F2:F144,"通过")</f>
        <v>0</v>
      </c>
      <c r="D39" s="20">
        <f>COUNTIFS(测试用例!B2:B144,A39,测试用例!F2:F144,"不通过")</f>
        <v>0</v>
      </c>
      <c r="E39" s="20">
        <f>COUNTIFS(测试用例!B2:B144,A39,测试用例!F2:F144,"未测试")</f>
        <v>10</v>
      </c>
    </row>
  </sheetData>
  <phoneticPr fontId="10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workbookViewId="0"/>
  </sheetViews>
  <sheetFormatPr defaultRowHeight="13.5" x14ac:dyDescent="0.15"/>
  <cols>
    <col min="1" max="1" width="8" customWidth="1"/>
    <col min="2" max="2" width="30" customWidth="1"/>
    <col min="3" max="3" width="62" customWidth="1"/>
    <col min="4" max="5" width="12" customWidth="1"/>
  </cols>
  <sheetData>
    <row r="1" spans="1:5" ht="16.5" x14ac:dyDescent="0.25">
      <c r="A1" s="21" t="s">
        <v>492</v>
      </c>
    </row>
    <row r="2" spans="1:5" ht="14.25" x14ac:dyDescent="0.2">
      <c r="A2" s="12" t="s">
        <v>493</v>
      </c>
    </row>
    <row r="4" spans="1:5" ht="14.25" x14ac:dyDescent="0.2">
      <c r="A4" s="18" t="s">
        <v>19</v>
      </c>
      <c r="B4" s="18" t="s">
        <v>494</v>
      </c>
      <c r="C4" s="18" t="s">
        <v>495</v>
      </c>
      <c r="D4" s="18" t="s">
        <v>496</v>
      </c>
      <c r="E4" s="18" t="s">
        <v>24</v>
      </c>
    </row>
    <row r="5" spans="1:5" x14ac:dyDescent="0.15">
      <c r="A5" s="5" t="s">
        <v>497</v>
      </c>
      <c r="B5" s="6" t="s">
        <v>498</v>
      </c>
      <c r="C5" s="7" t="s">
        <v>499</v>
      </c>
      <c r="D5" s="22" t="s">
        <v>500</v>
      </c>
      <c r="E5" s="5" t="s">
        <v>501</v>
      </c>
    </row>
    <row r="6" spans="1:5" x14ac:dyDescent="0.15">
      <c r="A6" s="5" t="s">
        <v>502</v>
      </c>
      <c r="B6" s="6" t="s">
        <v>503</v>
      </c>
      <c r="C6" s="7" t="s">
        <v>504</v>
      </c>
      <c r="D6" s="22" t="s">
        <v>500</v>
      </c>
      <c r="E6" s="5" t="s">
        <v>501</v>
      </c>
    </row>
    <row r="7" spans="1:5" x14ac:dyDescent="0.15">
      <c r="A7" s="5" t="s">
        <v>505</v>
      </c>
      <c r="B7" s="6" t="s">
        <v>506</v>
      </c>
      <c r="C7" s="7" t="s">
        <v>507</v>
      </c>
      <c r="D7" s="22" t="s">
        <v>500</v>
      </c>
      <c r="E7" s="5" t="s">
        <v>501</v>
      </c>
    </row>
    <row r="8" spans="1:5" x14ac:dyDescent="0.15">
      <c r="A8" s="5" t="s">
        <v>508</v>
      </c>
      <c r="B8" s="6" t="s">
        <v>509</v>
      </c>
      <c r="C8" s="7" t="s">
        <v>510</v>
      </c>
      <c r="D8" s="22" t="s">
        <v>500</v>
      </c>
      <c r="E8" s="5" t="s">
        <v>501</v>
      </c>
    </row>
    <row r="9" spans="1:5" x14ac:dyDescent="0.15">
      <c r="A9" s="5" t="s">
        <v>511</v>
      </c>
      <c r="B9" s="6" t="s">
        <v>512</v>
      </c>
      <c r="C9" s="7" t="s">
        <v>513</v>
      </c>
      <c r="D9" s="22" t="s">
        <v>500</v>
      </c>
      <c r="E9" s="5" t="s">
        <v>501</v>
      </c>
    </row>
    <row r="10" spans="1:5" x14ac:dyDescent="0.15">
      <c r="A10" s="5" t="s">
        <v>514</v>
      </c>
      <c r="B10" s="6" t="s">
        <v>515</v>
      </c>
      <c r="C10" s="7" t="s">
        <v>516</v>
      </c>
      <c r="D10" s="5" t="s">
        <v>517</v>
      </c>
      <c r="E10" s="5" t="s">
        <v>501</v>
      </c>
    </row>
    <row r="11" spans="1:5" x14ac:dyDescent="0.15">
      <c r="A11" s="5" t="s">
        <v>518</v>
      </c>
      <c r="B11" s="6" t="s">
        <v>519</v>
      </c>
      <c r="C11" s="7" t="s">
        <v>520</v>
      </c>
      <c r="D11" s="5" t="s">
        <v>517</v>
      </c>
      <c r="E11" s="5" t="s">
        <v>501</v>
      </c>
    </row>
    <row r="12" spans="1:5" x14ac:dyDescent="0.15">
      <c r="A12" s="5" t="s">
        <v>521</v>
      </c>
      <c r="B12" s="6" t="s">
        <v>522</v>
      </c>
      <c r="C12" s="7" t="s">
        <v>523</v>
      </c>
      <c r="D12" s="5" t="s">
        <v>517</v>
      </c>
      <c r="E12" s="5" t="s">
        <v>501</v>
      </c>
    </row>
  </sheetData>
  <phoneticPr fontId="10" type="noConversion"/>
  <dataValidations count="1">
    <dataValidation type="list" allowBlank="1" sqref="E5:E12" xr:uid="{00000000-0002-0000-0300-000000000000}">
      <formula1>"未开始,进行中,已完成,不适用"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说明</vt:lpstr>
      <vt:lpstr>测试用例</vt:lpstr>
      <vt:lpstr>统计</vt:lpstr>
      <vt:lpstr>上线前检查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Aaron TONG</cp:lastModifiedBy>
  <dcterms:created xsi:type="dcterms:W3CDTF">2026-07-22T09:53:52Z</dcterms:created>
  <dcterms:modified xsi:type="dcterms:W3CDTF">2026-07-22T09:57:39Z</dcterms:modified>
</cp:coreProperties>
</file>